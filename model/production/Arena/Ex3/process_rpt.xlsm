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3\"/>
    </mc:Choice>
  </mc:AlternateContent>
  <xr:revisionPtr revIDLastSave="0" documentId="13_ncr:1_{C6A9936A-EAE5-462A-B402-E4646A8352C6}" xr6:coauthVersionLast="47" xr6:coauthVersionMax="47" xr10:uidLastSave="{00000000-0000-0000-0000-000000000000}"/>
  <bookViews>
    <workbookView xWindow="1440" yWindow="144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ContinuousTimeStatsByRep!$A$1:$L$61</definedName>
    <definedName name="ExternalData_1" localSheetId="4" hidden="1">CounterStatsByRep!$A$1:$G$11</definedName>
    <definedName name="ExternalData_1" localSheetId="2" hidden="1">DiscreteTimeStatsByRep!$A$1:$K$56</definedName>
    <definedName name="ExternalData_1" localSheetId="6" hidden="1">FrequencyStatsByRep!$A$1:$K$2</definedName>
    <definedName name="ExternalData_1" localSheetId="5" hidden="1">OutputStatsByRep!$A$1:$H$36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27" i="20" s="1" a="1"/>
  <c r="K27" i="20" s="1"/>
  <c r="I3" i="20"/>
  <c r="K3" i="20" s="1" a="1"/>
  <c r="K3" i="20" s="1"/>
  <c r="I4" i="20"/>
  <c r="I5" i="20"/>
  <c r="I6" i="20"/>
  <c r="I7" i="20"/>
  <c r="P7" i="20" s="1" a="1"/>
  <c r="P7" i="20" s="1"/>
  <c r="I8" i="20"/>
  <c r="I9" i="20"/>
  <c r="I10" i="20"/>
  <c r="I11" i="20"/>
  <c r="I12" i="20"/>
  <c r="I13" i="20"/>
  <c r="L21" i="20" s="1" a="1"/>
  <c r="L21" i="20" s="1"/>
  <c r="I14" i="20"/>
  <c r="I15" i="20"/>
  <c r="I16" i="20"/>
  <c r="I17" i="20"/>
  <c r="I18" i="20"/>
  <c r="I19" i="20"/>
  <c r="I20" i="20"/>
  <c r="L20" i="20" s="1" a="1"/>
  <c r="L20" i="20" s="1"/>
  <c r="I21" i="20"/>
  <c r="I22" i="20"/>
  <c r="I23" i="20"/>
  <c r="I24" i="20"/>
  <c r="I25" i="20"/>
  <c r="I26" i="20"/>
  <c r="I27" i="20"/>
  <c r="I28" i="20"/>
  <c r="L28" i="20" s="1" a="1"/>
  <c r="L28" i="20" s="1"/>
  <c r="I29" i="20"/>
  <c r="O29" i="20" s="1" a="1"/>
  <c r="O29" i="20" s="1"/>
  <c r="I30" i="20"/>
  <c r="I31" i="20"/>
  <c r="I32" i="20"/>
  <c r="I33" i="20"/>
  <c r="I34" i="20"/>
  <c r="I35" i="20"/>
  <c r="I36" i="20"/>
  <c r="J2" i="20" a="1"/>
  <c r="J2" i="20" s="1"/>
  <c r="J3" i="20" a="1"/>
  <c r="J3" i="20" s="1"/>
  <c r="J4" i="20" a="1"/>
  <c r="J4" i="20" s="1"/>
  <c r="J5" i="20" a="1"/>
  <c r="J5" i="20"/>
  <c r="J6" i="20" a="1"/>
  <c r="J6" i="20" s="1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J17" i="20" a="1"/>
  <c r="J17" i="20" s="1"/>
  <c r="J18" i="20" a="1"/>
  <c r="J18" i="20" s="1"/>
  <c r="J19" i="20" a="1"/>
  <c r="J19" i="20" s="1"/>
  <c r="J20" i="20" a="1"/>
  <c r="J20" i="20" s="1"/>
  <c r="J21" i="20" a="1"/>
  <c r="J21" i="20"/>
  <c r="J22" i="20" a="1"/>
  <c r="J22" i="20" s="1"/>
  <c r="J23" i="20" a="1"/>
  <c r="J23" i="20" s="1"/>
  <c r="J24" i="20" a="1"/>
  <c r="J24" i="20"/>
  <c r="J25" i="20" a="1"/>
  <c r="J25" i="20" s="1"/>
  <c r="J26" i="20" a="1"/>
  <c r="J26" i="20" s="1"/>
  <c r="J27" i="20" a="1"/>
  <c r="J27" i="20" s="1"/>
  <c r="J28" i="20" a="1"/>
  <c r="J28" i="20" s="1"/>
  <c r="J29" i="20" a="1"/>
  <c r="J29" i="20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L22" i="20" a="1"/>
  <c r="L22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P28" i="20" a="1"/>
  <c r="P28" i="20" s="1"/>
  <c r="H2" i="19"/>
  <c r="H3" i="19"/>
  <c r="J8" i="19" s="1" a="1"/>
  <c r="J8" i="19" s="1"/>
  <c r="H4" i="19"/>
  <c r="N5" i="19" s="1" a="1"/>
  <c r="N5" i="19" s="1"/>
  <c r="H5" i="19"/>
  <c r="H6" i="19"/>
  <c r="H7" i="19"/>
  <c r="H8" i="19"/>
  <c r="H9" i="19"/>
  <c r="H10" i="19"/>
  <c r="H11" i="19"/>
  <c r="I2" i="19" a="1"/>
  <c r="I2" i="19"/>
  <c r="I3" i="19" a="1"/>
  <c r="I3" i="19" s="1"/>
  <c r="I4" i="19" a="1"/>
  <c r="I4" i="19" s="1"/>
  <c r="I5" i="19" a="1"/>
  <c r="I5" i="19" s="1"/>
  <c r="I6" i="19" a="1"/>
  <c r="I6" i="19" s="1"/>
  <c r="I7" i="19" a="1"/>
  <c r="I7" i="19"/>
  <c r="I8" i="19" a="1"/>
  <c r="I8" i="19" s="1"/>
  <c r="I9" i="19" a="1"/>
  <c r="I9" i="19"/>
  <c r="I10" i="19" a="1"/>
  <c r="I10" i="19"/>
  <c r="I11" i="19" a="1"/>
  <c r="I11" i="19" s="1"/>
  <c r="K6" i="19" a="1"/>
  <c r="K6" i="19" s="1"/>
  <c r="L2" i="19" a="1"/>
  <c r="L2" i="19" s="1"/>
  <c r="L3" i="19" a="1"/>
  <c r="L3" i="19"/>
  <c r="L4" i="19" a="1"/>
  <c r="L4" i="19"/>
  <c r="L5" i="19" a="1"/>
  <c r="L5" i="19" s="1"/>
  <c r="L6" i="19" a="1"/>
  <c r="L6" i="19" s="1"/>
  <c r="L7" i="19" a="1"/>
  <c r="L7" i="19" s="1"/>
  <c r="L8" i="19" a="1"/>
  <c r="L8" i="19" s="1"/>
  <c r="L9" i="19" a="1"/>
  <c r="L9" i="19"/>
  <c r="L10" i="19" a="1"/>
  <c r="L10" i="19" s="1"/>
  <c r="L11" i="19" a="1"/>
  <c r="L11" i="19" s="1"/>
  <c r="O3" i="19" a="1"/>
  <c r="O3" i="19" s="1"/>
  <c r="O11" i="19" a="1"/>
  <c r="O11" i="19" s="1"/>
  <c r="M2" i="18"/>
  <c r="M3" i="18"/>
  <c r="M4" i="18"/>
  <c r="O54" i="18" s="1" a="1"/>
  <c r="O54" i="18" s="1"/>
  <c r="M5" i="18"/>
  <c r="M6" i="18"/>
  <c r="M7" i="18"/>
  <c r="M8" i="18"/>
  <c r="M9" i="18"/>
  <c r="M10" i="18"/>
  <c r="M11" i="18"/>
  <c r="M12" i="18"/>
  <c r="M13" i="18"/>
  <c r="P32" i="18" s="1" a="1"/>
  <c r="P32" i="18" s="1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T14" i="18" s="1" a="1"/>
  <c r="T14" i="18" s="1"/>
  <c r="M30" i="18"/>
  <c r="M31" i="18"/>
  <c r="M32" i="18"/>
  <c r="M33" i="18"/>
  <c r="M34" i="18"/>
  <c r="M35" i="18"/>
  <c r="M36" i="18"/>
  <c r="M37" i="18"/>
  <c r="M38" i="18"/>
  <c r="M39" i="18"/>
  <c r="M40" i="18"/>
  <c r="M41" i="18"/>
  <c r="O41" i="18" s="1" a="1"/>
  <c r="O41" i="18" s="1"/>
  <c r="M42" i="18"/>
  <c r="M43" i="18"/>
  <c r="M44" i="18"/>
  <c r="M45" i="18"/>
  <c r="S45" i="18" s="1" a="1"/>
  <c r="S45" i="18" s="1"/>
  <c r="M46" i="18"/>
  <c r="M47" i="18"/>
  <c r="O47" i="18" s="1" a="1"/>
  <c r="O47" i="18" s="1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O40" i="18" s="1" a="1"/>
  <c r="O40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/>
  <c r="N33" i="18" a="1"/>
  <c r="N33" i="18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/>
  <c r="N41" i="18" a="1"/>
  <c r="N41" i="18"/>
  <c r="N42" i="18" a="1"/>
  <c r="N42" i="18" s="1"/>
  <c r="N43" i="18" a="1"/>
  <c r="N43" i="18" s="1"/>
  <c r="N44" i="18" a="1"/>
  <c r="N44" i="18"/>
  <c r="N45" i="18" a="1"/>
  <c r="N45" i="18" s="1"/>
  <c r="N46" i="18" a="1"/>
  <c r="N46" i="18" s="1"/>
  <c r="N47" i="18" a="1"/>
  <c r="N47" i="18" s="1"/>
  <c r="N48" i="18" a="1"/>
  <c r="N48" i="18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O46" i="18" a="1"/>
  <c r="O46" i="18" s="1"/>
  <c r="P11" i="18" a="1"/>
  <c r="P11" i="18" s="1"/>
  <c r="P30" i="18" a="1"/>
  <c r="P30" i="18" s="1"/>
  <c r="P49" i="18" a="1"/>
  <c r="P49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S9" i="18" a="1"/>
  <c r="S9" i="18" s="1"/>
  <c r="S25" i="18" a="1"/>
  <c r="S25" i="18" s="1"/>
  <c r="S31" i="18" a="1"/>
  <c r="S31" i="18" s="1"/>
  <c r="S35" i="18" a="1"/>
  <c r="S35" i="18" s="1"/>
  <c r="S39" i="18" a="1"/>
  <c r="S39" i="18" s="1"/>
  <c r="S41" i="18" a="1"/>
  <c r="S41" i="18" s="1"/>
  <c r="S47" i="18" a="1"/>
  <c r="S47" i="18" s="1"/>
  <c r="S51" i="18" a="1"/>
  <c r="S51" i="18" s="1"/>
  <c r="S53" i="18" a="1"/>
  <c r="S53" i="18" s="1"/>
  <c r="S55" i="18" a="1"/>
  <c r="S55" i="18" s="1"/>
  <c r="S57" i="18" a="1"/>
  <c r="S57" i="18" s="1"/>
  <c r="T3" i="18" a="1"/>
  <c r="T3" i="18" s="1"/>
  <c r="T4" i="18" a="1"/>
  <c r="T4" i="18" s="1"/>
  <c r="T7" i="18" a="1"/>
  <c r="T7" i="18" s="1"/>
  <c r="T8" i="18" a="1"/>
  <c r="T8" i="18" s="1"/>
  <c r="T9" i="18" a="1"/>
  <c r="T9" i="18" s="1"/>
  <c r="T11" i="18" a="1"/>
  <c r="T11" i="18" s="1"/>
  <c r="T13" i="18" a="1"/>
  <c r="T13" i="18" s="1"/>
  <c r="T15" i="18" a="1"/>
  <c r="T15" i="18" s="1"/>
  <c r="T16" i="18" a="1"/>
  <c r="T16" i="18" s="1"/>
  <c r="T19" i="18" a="1"/>
  <c r="T19" i="18" s="1"/>
  <c r="T20" i="18" a="1"/>
  <c r="T20" i="18" s="1"/>
  <c r="T22" i="18" a="1"/>
  <c r="T22" i="18" s="1"/>
  <c r="T23" i="18" a="1"/>
  <c r="T23" i="18" s="1"/>
  <c r="T24" i="18" a="1"/>
  <c r="T24" i="18" s="1"/>
  <c r="T25" i="18" a="1"/>
  <c r="T25" i="18" s="1"/>
  <c r="T27" i="18" a="1"/>
  <c r="T27" i="18" s="1"/>
  <c r="T29" i="18" a="1"/>
  <c r="T29" i="18" s="1"/>
  <c r="T31" i="18" a="1"/>
  <c r="T31" i="18" s="1"/>
  <c r="T32" i="18" a="1"/>
  <c r="T32" i="18" s="1"/>
  <c r="T34" i="18" a="1"/>
  <c r="T34" i="18" s="1"/>
  <c r="T35" i="18" a="1"/>
  <c r="T35" i="18" s="1"/>
  <c r="T36" i="18" a="1"/>
  <c r="T36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5" i="18" a="1"/>
  <c r="T45" i="18" s="1"/>
  <c r="T46" i="18" a="1"/>
  <c r="T46" i="18" s="1"/>
  <c r="T47" i="18" a="1"/>
  <c r="T47" i="18" s="1"/>
  <c r="T48" i="18" a="1"/>
  <c r="T48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1" i="18" a="1"/>
  <c r="T61" i="18" s="1"/>
  <c r="L2" i="17"/>
  <c r="L7" i="17"/>
  <c r="L12" i="17"/>
  <c r="L17" i="17"/>
  <c r="L22" i="17"/>
  <c r="L23" i="17"/>
  <c r="L24" i="17"/>
  <c r="L25" i="17"/>
  <c r="L26" i="17"/>
  <c r="L27" i="17"/>
  <c r="L52" i="17"/>
  <c r="L3" i="17"/>
  <c r="V47" i="17" s="1" a="1"/>
  <c r="V47" i="17" s="1"/>
  <c r="L8" i="17"/>
  <c r="L13" i="17"/>
  <c r="L18" i="17"/>
  <c r="L28" i="17"/>
  <c r="L29" i="17"/>
  <c r="L30" i="17"/>
  <c r="L31" i="17"/>
  <c r="L32" i="17"/>
  <c r="L33" i="17"/>
  <c r="L53" i="17"/>
  <c r="L4" i="17"/>
  <c r="L9" i="17"/>
  <c r="L14" i="17"/>
  <c r="L19" i="17"/>
  <c r="L34" i="17"/>
  <c r="L35" i="17"/>
  <c r="L36" i="17"/>
  <c r="L37" i="17"/>
  <c r="L38" i="17"/>
  <c r="L39" i="17"/>
  <c r="L54" i="17"/>
  <c r="L5" i="17"/>
  <c r="L10" i="17"/>
  <c r="L15" i="17"/>
  <c r="L20" i="17"/>
  <c r="L40" i="17"/>
  <c r="L41" i="17"/>
  <c r="L42" i="17"/>
  <c r="L43" i="17"/>
  <c r="L44" i="17"/>
  <c r="L45" i="17"/>
  <c r="L55" i="17"/>
  <c r="L6" i="17"/>
  <c r="L11" i="17"/>
  <c r="L16" i="17"/>
  <c r="L21" i="17"/>
  <c r="L46" i="17"/>
  <c r="L47" i="17"/>
  <c r="L48" i="17"/>
  <c r="L49" i="17"/>
  <c r="L50" i="17"/>
  <c r="L51" i="17"/>
  <c r="L56" i="17"/>
  <c r="M2" i="17" a="1"/>
  <c r="M2" i="17" s="1"/>
  <c r="M7" i="17" a="1"/>
  <c r="M7" i="17" s="1"/>
  <c r="M12" i="17" a="1"/>
  <c r="M12" i="17" s="1"/>
  <c r="M17" i="17" a="1"/>
  <c r="M17" i="17" s="1"/>
  <c r="M22" i="17" a="1"/>
  <c r="M22" i="17" s="1"/>
  <c r="M23" i="17" a="1"/>
  <c r="M23" i="17" s="1"/>
  <c r="M24" i="17" a="1"/>
  <c r="M24" i="17" s="1"/>
  <c r="M25" i="17" a="1"/>
  <c r="M25" i="17"/>
  <c r="M26" i="17" a="1"/>
  <c r="M26" i="17" s="1"/>
  <c r="M27" i="17" a="1"/>
  <c r="M27" i="17" s="1"/>
  <c r="M52" i="17" a="1"/>
  <c r="M52" i="17" s="1"/>
  <c r="M3" i="17" a="1"/>
  <c r="M3" i="17" s="1"/>
  <c r="M8" i="17" a="1"/>
  <c r="M8" i="17" s="1"/>
  <c r="M13" i="17" a="1"/>
  <c r="M13" i="17" s="1"/>
  <c r="M18" i="17" a="1"/>
  <c r="M18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53" i="17" a="1"/>
  <c r="M53" i="17" s="1"/>
  <c r="M4" i="17" a="1"/>
  <c r="M4" i="17" s="1"/>
  <c r="M9" i="17" a="1"/>
  <c r="M9" i="17" s="1"/>
  <c r="M14" i="17" a="1"/>
  <c r="M14" i="17" s="1"/>
  <c r="M19" i="17" a="1"/>
  <c r="M19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54" i="17" a="1"/>
  <c r="M54" i="17" s="1"/>
  <c r="M5" i="17" a="1"/>
  <c r="M5" i="17" s="1"/>
  <c r="M10" i="17" a="1"/>
  <c r="M10" i="17" s="1"/>
  <c r="M15" i="17" a="1"/>
  <c r="M15" i="17" s="1"/>
  <c r="M20" i="17" a="1"/>
  <c r="M20" i="17" s="1"/>
  <c r="M40" i="17" a="1"/>
  <c r="M40" i="17" s="1"/>
  <c r="M41" i="17" a="1"/>
  <c r="M41" i="17" s="1"/>
  <c r="M42" i="17" a="1"/>
  <c r="M42" i="17" s="1"/>
  <c r="M43" i="17" a="1"/>
  <c r="M43" i="17" s="1"/>
  <c r="M44" i="17" a="1"/>
  <c r="M44" i="17"/>
  <c r="M45" i="17" a="1"/>
  <c r="M45" i="17" s="1"/>
  <c r="M55" i="17" a="1"/>
  <c r="M55" i="17" s="1"/>
  <c r="M6" i="17" a="1"/>
  <c r="M6" i="17" s="1"/>
  <c r="M11" i="17" a="1"/>
  <c r="M11" i="17" s="1"/>
  <c r="M16" i="17" a="1"/>
  <c r="M16" i="17" s="1"/>
  <c r="M21" i="17" a="1"/>
  <c r="M21" i="17" s="1"/>
  <c r="M46" i="17" a="1"/>
  <c r="M46" i="17" s="1"/>
  <c r="M47" i="17" a="1"/>
  <c r="M47" i="17" s="1"/>
  <c r="M48" i="17" a="1"/>
  <c r="M48" i="17"/>
  <c r="M49" i="17" a="1"/>
  <c r="M49" i="17" s="1"/>
  <c r="M50" i="17" a="1"/>
  <c r="M50" i="17" s="1"/>
  <c r="M51" i="17" a="1"/>
  <c r="M51" i="17" s="1"/>
  <c r="M56" i="17" a="1"/>
  <c r="M56" i="17" s="1"/>
  <c r="P2" i="17" a="1"/>
  <c r="P2" i="17" s="1"/>
  <c r="P7" i="17" a="1"/>
  <c r="P7" i="17" s="1"/>
  <c r="P12" i="17" a="1"/>
  <c r="P12" i="17" s="1"/>
  <c r="P17" i="17" a="1"/>
  <c r="P17" i="17" s="1"/>
  <c r="P22" i="17" a="1"/>
  <c r="P22" i="17"/>
  <c r="P23" i="17" a="1"/>
  <c r="P23" i="17" s="1"/>
  <c r="P24" i="17" a="1"/>
  <c r="P24" i="17"/>
  <c r="P25" i="17" a="1"/>
  <c r="P25" i="17" s="1"/>
  <c r="P26" i="17" a="1"/>
  <c r="P26" i="17" s="1"/>
  <c r="P27" i="17" a="1"/>
  <c r="P27" i="17" s="1"/>
  <c r="P52" i="17" a="1"/>
  <c r="P52" i="17" s="1"/>
  <c r="P3" i="17" a="1"/>
  <c r="P3" i="17" s="1"/>
  <c r="P8" i="17" a="1"/>
  <c r="P8" i="17" s="1"/>
  <c r="P13" i="17" a="1"/>
  <c r="P13" i="17" s="1"/>
  <c r="P18" i="17" a="1"/>
  <c r="P18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/>
  <c r="P33" i="17" a="1"/>
  <c r="P33" i="17"/>
  <c r="P53" i="17" a="1"/>
  <c r="P53" i="17"/>
  <c r="P4" i="17" a="1"/>
  <c r="P4" i="17" s="1"/>
  <c r="P9" i="17" a="1"/>
  <c r="P9" i="17" s="1"/>
  <c r="P14" i="17" a="1"/>
  <c r="P14" i="17" s="1"/>
  <c r="P19" i="17" a="1"/>
  <c r="P19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54" i="17" a="1"/>
  <c r="P54" i="17" s="1"/>
  <c r="P5" i="17" a="1"/>
  <c r="P5" i="17" s="1"/>
  <c r="P10" i="17" a="1"/>
  <c r="P10" i="17"/>
  <c r="P15" i="17" a="1"/>
  <c r="P15" i="17" s="1"/>
  <c r="P20" i="17" a="1"/>
  <c r="P20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55" i="17" a="1"/>
  <c r="P55" i="17" s="1"/>
  <c r="P6" i="17" a="1"/>
  <c r="P6" i="17" s="1"/>
  <c r="P11" i="17" a="1"/>
  <c r="P11" i="17" s="1"/>
  <c r="P16" i="17" a="1"/>
  <c r="P16" i="17" s="1"/>
  <c r="P21" i="17" a="1"/>
  <c r="P21" i="17" s="1"/>
  <c r="P46" i="17" a="1"/>
  <c r="P46" i="17" s="1"/>
  <c r="P47" i="17" a="1"/>
  <c r="P47" i="17" s="1"/>
  <c r="P48" i="17" a="1"/>
  <c r="P48" i="17" s="1"/>
  <c r="P49" i="17" a="1"/>
  <c r="P49" i="17"/>
  <c r="P50" i="17" a="1"/>
  <c r="P50" i="17"/>
  <c r="P51" i="17" a="1"/>
  <c r="P51" i="17" s="1"/>
  <c r="P56" i="17" a="1"/>
  <c r="P56" i="17" s="1"/>
  <c r="G2" i="16"/>
  <c r="P16" i="20" l="1" a="1"/>
  <c r="P16" i="20" s="1"/>
  <c r="K34" i="20" a="1"/>
  <c r="K34" i="20" s="1"/>
  <c r="L29" i="20" a="1"/>
  <c r="L29" i="20" s="1"/>
  <c r="K11" i="20" a="1"/>
  <c r="K11" i="20" s="1"/>
  <c r="L30" i="20" a="1"/>
  <c r="L30" i="20" s="1"/>
  <c r="P15" i="20" a="1"/>
  <c r="P15" i="20" s="1"/>
  <c r="P23" i="20" a="1"/>
  <c r="P23" i="20" s="1"/>
  <c r="K18" i="20" a="1"/>
  <c r="K18" i="20" s="1"/>
  <c r="L27" i="20" a="1"/>
  <c r="L27" i="20" s="1"/>
  <c r="N27" i="20" s="1"/>
  <c r="K19" i="20" a="1"/>
  <c r="K19" i="20" s="1"/>
  <c r="L24" i="20" a="1"/>
  <c r="L24" i="20" s="1"/>
  <c r="N24" i="20" s="1"/>
  <c r="O3" i="20" a="1"/>
  <c r="O3" i="20" s="1"/>
  <c r="O19" i="20" a="1"/>
  <c r="O19" i="20" s="1"/>
  <c r="O28" i="20" a="1"/>
  <c r="O28" i="20" s="1"/>
  <c r="L19" i="20" a="1"/>
  <c r="L19" i="20" s="1"/>
  <c r="K26" i="20" a="1"/>
  <c r="K26" i="20" s="1"/>
  <c r="K10" i="20" a="1"/>
  <c r="K10" i="20" s="1"/>
  <c r="P32" i="20" a="1"/>
  <c r="P32" i="20" s="1"/>
  <c r="O9" i="20" a="1"/>
  <c r="O9" i="20" s="1"/>
  <c r="P36" i="20" a="1"/>
  <c r="P36" i="20" s="1"/>
  <c r="L16" i="20" a="1"/>
  <c r="L16" i="20" s="1"/>
  <c r="N16" i="20" s="1"/>
  <c r="P31" i="20" a="1"/>
  <c r="P31" i="20" s="1"/>
  <c r="L13" i="20" a="1"/>
  <c r="L13" i="20" s="1"/>
  <c r="N13" i="20" s="1"/>
  <c r="L12" i="20" a="1"/>
  <c r="L12" i="20" s="1"/>
  <c r="N12" i="20" s="1"/>
  <c r="N29" i="20"/>
  <c r="P24" i="20" a="1"/>
  <c r="P24" i="20" s="1"/>
  <c r="L36" i="20" a="1"/>
  <c r="L36" i="20" s="1"/>
  <c r="N36" i="20" s="1"/>
  <c r="L8" i="20" a="1"/>
  <c r="L8" i="20" s="1"/>
  <c r="N8" i="20" s="1"/>
  <c r="L35" i="20" a="1"/>
  <c r="L35" i="20" s="1"/>
  <c r="N35" i="20" s="1"/>
  <c r="L4" i="20" a="1"/>
  <c r="L4" i="20" s="1"/>
  <c r="N4" i="20" s="1"/>
  <c r="N28" i="20"/>
  <c r="O21" i="20" a="1"/>
  <c r="O21" i="20" s="1"/>
  <c r="O5" i="20" a="1"/>
  <c r="O5" i="20" s="1"/>
  <c r="P20" i="20" a="1"/>
  <c r="P20" i="20" s="1"/>
  <c r="L34" i="20" a="1"/>
  <c r="L34" i="20" s="1"/>
  <c r="N34" i="20" s="1"/>
  <c r="K35" i="20" a="1"/>
  <c r="K35" i="20" s="1"/>
  <c r="L32" i="20" a="1"/>
  <c r="L32" i="20" s="1"/>
  <c r="N32" i="20" s="1"/>
  <c r="O4" i="20" a="1"/>
  <c r="O4" i="20" s="1"/>
  <c r="N21" i="20"/>
  <c r="N22" i="20"/>
  <c r="N20" i="20"/>
  <c r="N30" i="20"/>
  <c r="N19" i="20"/>
  <c r="L26" i="20" a="1"/>
  <c r="L26" i="20" s="1"/>
  <c r="N26" i="20" s="1"/>
  <c r="L18" i="20" a="1"/>
  <c r="L18" i="20" s="1"/>
  <c r="N18" i="20" s="1"/>
  <c r="L10" i="20" a="1"/>
  <c r="L10" i="20" s="1"/>
  <c r="N10" i="20" s="1"/>
  <c r="L2" i="20" a="1"/>
  <c r="L2" i="20" s="1"/>
  <c r="N2" i="20" s="1"/>
  <c r="K29" i="20" a="1"/>
  <c r="K29" i="20" s="1"/>
  <c r="K21" i="20" a="1"/>
  <c r="K21" i="20" s="1"/>
  <c r="K13" i="20" a="1"/>
  <c r="K13" i="20" s="1"/>
  <c r="K5" i="20" a="1"/>
  <c r="K5" i="20" s="1"/>
  <c r="O34" i="20" a="1"/>
  <c r="O34" i="20" s="1"/>
  <c r="O26" i="20" a="1"/>
  <c r="O26" i="20" s="1"/>
  <c r="O18" i="20" a="1"/>
  <c r="O18" i="20" s="1"/>
  <c r="O10" i="20" a="1"/>
  <c r="O10" i="20" s="1"/>
  <c r="O2" i="20" a="1"/>
  <c r="O2" i="20" s="1"/>
  <c r="L33" i="20" a="1"/>
  <c r="L33" i="20" s="1"/>
  <c r="N33" i="20" s="1"/>
  <c r="L25" i="20" a="1"/>
  <c r="L25" i="20" s="1"/>
  <c r="N25" i="20" s="1"/>
  <c r="L17" i="20" a="1"/>
  <c r="L17" i="20" s="1"/>
  <c r="N17" i="20" s="1"/>
  <c r="L9" i="20" a="1"/>
  <c r="L9" i="20" s="1"/>
  <c r="N9" i="20" s="1"/>
  <c r="K36" i="20" a="1"/>
  <c r="K36" i="20" s="1"/>
  <c r="K28" i="20" a="1"/>
  <c r="K28" i="20" s="1"/>
  <c r="K20" i="20" a="1"/>
  <c r="K20" i="20" s="1"/>
  <c r="K12" i="20" a="1"/>
  <c r="K12" i="20" s="1"/>
  <c r="K4" i="20" a="1"/>
  <c r="K4" i="20" s="1"/>
  <c r="P30" i="20" a="1"/>
  <c r="P30" i="20" s="1"/>
  <c r="P22" i="20" a="1"/>
  <c r="P22" i="20" s="1"/>
  <c r="P14" i="20" a="1"/>
  <c r="P14" i="20" s="1"/>
  <c r="P6" i="20" a="1"/>
  <c r="P6" i="20" s="1"/>
  <c r="O33" i="20" a="1"/>
  <c r="O33" i="20" s="1"/>
  <c r="O25" i="20" a="1"/>
  <c r="O25" i="20" s="1"/>
  <c r="O17" i="20" a="1"/>
  <c r="O17" i="20" s="1"/>
  <c r="P29" i="20" a="1"/>
  <c r="P29" i="20" s="1"/>
  <c r="P21" i="20" a="1"/>
  <c r="P21" i="20" s="1"/>
  <c r="P13" i="20" a="1"/>
  <c r="P13" i="20" s="1"/>
  <c r="P5" i="20" a="1"/>
  <c r="P5" i="20" s="1"/>
  <c r="O32" i="20" a="1"/>
  <c r="O32" i="20" s="1"/>
  <c r="O24" i="20" a="1"/>
  <c r="O24" i="20" s="1"/>
  <c r="O16" i="20" a="1"/>
  <c r="O16" i="20" s="1"/>
  <c r="O8" i="20" a="1"/>
  <c r="O8" i="20" s="1"/>
  <c r="L31" i="20" a="1"/>
  <c r="L31" i="20" s="1"/>
  <c r="N31" i="20" s="1"/>
  <c r="L23" i="20" a="1"/>
  <c r="L23" i="20" s="1"/>
  <c r="N23" i="20" s="1"/>
  <c r="L15" i="20" a="1"/>
  <c r="L15" i="20" s="1"/>
  <c r="N15" i="20" s="1"/>
  <c r="L7" i="20" a="1"/>
  <c r="L7" i="20" s="1"/>
  <c r="N7" i="20" s="1"/>
  <c r="K2" i="20" a="1"/>
  <c r="K2" i="20" s="1"/>
  <c r="P12" i="20" a="1"/>
  <c r="P12" i="20" s="1"/>
  <c r="P4" i="20" a="1"/>
  <c r="P4" i="20" s="1"/>
  <c r="O31" i="20" a="1"/>
  <c r="O31" i="20" s="1"/>
  <c r="O23" i="20" a="1"/>
  <c r="O23" i="20" s="1"/>
  <c r="O15" i="20" a="1"/>
  <c r="O15" i="20" s="1"/>
  <c r="O7" i="20" a="1"/>
  <c r="O7" i="20" s="1"/>
  <c r="L14" i="20" a="1"/>
  <c r="L14" i="20" s="1"/>
  <c r="N14" i="20" s="1"/>
  <c r="L6" i="20" a="1"/>
  <c r="L6" i="20" s="1"/>
  <c r="N6" i="20" s="1"/>
  <c r="K33" i="20" a="1"/>
  <c r="K33" i="20" s="1"/>
  <c r="K25" i="20" a="1"/>
  <c r="K25" i="20" s="1"/>
  <c r="K17" i="20" a="1"/>
  <c r="K17" i="20" s="1"/>
  <c r="K9" i="20" a="1"/>
  <c r="K9" i="20" s="1"/>
  <c r="P35" i="20" a="1"/>
  <c r="P35" i="20" s="1"/>
  <c r="P27" i="20" a="1"/>
  <c r="P27" i="20" s="1"/>
  <c r="P19" i="20" a="1"/>
  <c r="P19" i="20" s="1"/>
  <c r="P11" i="20" a="1"/>
  <c r="P11" i="20" s="1"/>
  <c r="P3" i="20" a="1"/>
  <c r="P3" i="20" s="1"/>
  <c r="O30" i="20" a="1"/>
  <c r="O30" i="20" s="1"/>
  <c r="O22" i="20" a="1"/>
  <c r="O22" i="20" s="1"/>
  <c r="O14" i="20" a="1"/>
  <c r="O14" i="20" s="1"/>
  <c r="O6" i="20" a="1"/>
  <c r="O6" i="20" s="1"/>
  <c r="L5" i="20" a="1"/>
  <c r="L5" i="20" s="1"/>
  <c r="N5" i="20" s="1"/>
  <c r="K32" i="20" a="1"/>
  <c r="K32" i="20" s="1"/>
  <c r="K24" i="20" a="1"/>
  <c r="K24" i="20" s="1"/>
  <c r="K16" i="20" a="1"/>
  <c r="K16" i="20" s="1"/>
  <c r="K8" i="20" a="1"/>
  <c r="K8" i="20" s="1"/>
  <c r="P34" i="20" a="1"/>
  <c r="P34" i="20" s="1"/>
  <c r="P26" i="20" a="1"/>
  <c r="P26" i="20" s="1"/>
  <c r="P18" i="20" a="1"/>
  <c r="P18" i="20" s="1"/>
  <c r="P10" i="20" a="1"/>
  <c r="P10" i="20" s="1"/>
  <c r="P2" i="20" a="1"/>
  <c r="P2" i="20" s="1"/>
  <c r="O13" i="20" a="1"/>
  <c r="O13" i="20" s="1"/>
  <c r="K31" i="20" a="1"/>
  <c r="K31" i="20" s="1"/>
  <c r="K23" i="20" a="1"/>
  <c r="K23" i="20" s="1"/>
  <c r="K15" i="20" a="1"/>
  <c r="K15" i="20" s="1"/>
  <c r="K7" i="20" a="1"/>
  <c r="K7" i="20" s="1"/>
  <c r="P33" i="20" a="1"/>
  <c r="P33" i="20" s="1"/>
  <c r="P25" i="20" a="1"/>
  <c r="P25" i="20" s="1"/>
  <c r="P17" i="20" a="1"/>
  <c r="P17" i="20" s="1"/>
  <c r="P9" i="20" a="1"/>
  <c r="P9" i="20" s="1"/>
  <c r="O36" i="20" a="1"/>
  <c r="O36" i="20" s="1"/>
  <c r="O20" i="20" a="1"/>
  <c r="O20" i="20" s="1"/>
  <c r="O12" i="20" a="1"/>
  <c r="O12" i="20" s="1"/>
  <c r="L11" i="20" a="1"/>
  <c r="L11" i="20" s="1"/>
  <c r="N11" i="20" s="1"/>
  <c r="L3" i="20" a="1"/>
  <c r="L3" i="20" s="1"/>
  <c r="N3" i="20" s="1"/>
  <c r="K30" i="20" a="1"/>
  <c r="K30" i="20" s="1"/>
  <c r="K22" i="20" a="1"/>
  <c r="K22" i="20" s="1"/>
  <c r="K14" i="20" a="1"/>
  <c r="K14" i="20" s="1"/>
  <c r="K6" i="20" a="1"/>
  <c r="K6" i="20" s="1"/>
  <c r="P8" i="20" a="1"/>
  <c r="P8" i="20" s="1"/>
  <c r="O35" i="20" a="1"/>
  <c r="O35" i="20" s="1"/>
  <c r="O27" i="20" a="1"/>
  <c r="O27" i="20" s="1"/>
  <c r="O11" i="20" a="1"/>
  <c r="O11" i="20" s="1"/>
  <c r="M2" i="19"/>
  <c r="K11" i="19" a="1"/>
  <c r="K11" i="19" s="1"/>
  <c r="K10" i="19" a="1"/>
  <c r="K10" i="19" s="1"/>
  <c r="M10" i="19" s="1"/>
  <c r="J9" i="19" a="1"/>
  <c r="J9" i="19" s="1"/>
  <c r="J3" i="19" a="1"/>
  <c r="J3" i="19" s="1"/>
  <c r="J6" i="19" a="1"/>
  <c r="J6" i="19" s="1"/>
  <c r="K2" i="19" a="1"/>
  <c r="K2" i="19" s="1"/>
  <c r="M11" i="19"/>
  <c r="M6" i="19"/>
  <c r="K9" i="19" a="1"/>
  <c r="K9" i="19" s="1"/>
  <c r="M9" i="19" s="1"/>
  <c r="J11" i="19" a="1"/>
  <c r="J11" i="19" s="1"/>
  <c r="N8" i="19" a="1"/>
  <c r="N8" i="19" s="1"/>
  <c r="K8" i="19" a="1"/>
  <c r="K8" i="19" s="1"/>
  <c r="M8" i="19" s="1"/>
  <c r="J10" i="19" a="1"/>
  <c r="J10" i="19" s="1"/>
  <c r="J2" i="19" a="1"/>
  <c r="J2" i="19" s="1"/>
  <c r="O5" i="19" a="1"/>
  <c r="O5" i="19" s="1"/>
  <c r="N7" i="19" a="1"/>
  <c r="N7" i="19" s="1"/>
  <c r="O4" i="19" a="1"/>
  <c r="O4" i="19" s="1"/>
  <c r="N6" i="19" a="1"/>
  <c r="N6" i="19" s="1"/>
  <c r="K7" i="19" a="1"/>
  <c r="K7" i="19" s="1"/>
  <c r="M7" i="19" s="1"/>
  <c r="K5" i="19" a="1"/>
  <c r="K5" i="19" s="1"/>
  <c r="M5" i="19" s="1"/>
  <c r="J7" i="19" a="1"/>
  <c r="J7" i="19" s="1"/>
  <c r="N4" i="19" a="1"/>
  <c r="N4" i="19" s="1"/>
  <c r="O2" i="19" a="1"/>
  <c r="O2" i="19" s="1"/>
  <c r="O9" i="19" a="1"/>
  <c r="O9" i="19" s="1"/>
  <c r="N11" i="19" a="1"/>
  <c r="N11" i="19" s="1"/>
  <c r="N3" i="19" a="1"/>
  <c r="N3" i="19" s="1"/>
  <c r="K4" i="19" a="1"/>
  <c r="K4" i="19" s="1"/>
  <c r="M4" i="19" s="1"/>
  <c r="N2" i="19" a="1"/>
  <c r="N2" i="19" s="1"/>
  <c r="J5" i="19" a="1"/>
  <c r="J5" i="19" s="1"/>
  <c r="O8" i="19" a="1"/>
  <c r="O8" i="19" s="1"/>
  <c r="K3" i="19" a="1"/>
  <c r="K3" i="19" s="1"/>
  <c r="M3" i="19" s="1"/>
  <c r="O10" i="19" a="1"/>
  <c r="O10" i="19" s="1"/>
  <c r="N9" i="19" a="1"/>
  <c r="N9" i="19" s="1"/>
  <c r="J4" i="19" a="1"/>
  <c r="J4" i="19" s="1"/>
  <c r="N10" i="19" a="1"/>
  <c r="N10" i="19" s="1"/>
  <c r="O7" i="19" a="1"/>
  <c r="O7" i="19" s="1"/>
  <c r="O6" i="19" a="1"/>
  <c r="O6" i="19" s="1"/>
  <c r="T18" i="18" a="1"/>
  <c r="T18" i="18" s="1"/>
  <c r="S46" i="18" a="1"/>
  <c r="S46" i="18" s="1"/>
  <c r="T49" i="18" a="1"/>
  <c r="T49" i="18" s="1"/>
  <c r="T33" i="18" a="1"/>
  <c r="T33" i="18" s="1"/>
  <c r="T17" i="18" a="1"/>
  <c r="T17" i="18" s="1"/>
  <c r="S61" i="18" a="1"/>
  <c r="S61" i="18" s="1"/>
  <c r="S29" i="18" a="1"/>
  <c r="S29" i="18" s="1"/>
  <c r="S13" i="18" a="1"/>
  <c r="S13" i="18" s="1"/>
  <c r="P53" i="18" a="1"/>
  <c r="P53" i="18" s="1"/>
  <c r="P35" i="18" a="1"/>
  <c r="P35" i="18" s="1"/>
  <c r="P17" i="18" a="1"/>
  <c r="P17" i="18" s="1"/>
  <c r="R17" i="18" s="1"/>
  <c r="U17" i="18" s="1"/>
  <c r="O53" i="18" a="1"/>
  <c r="O53" i="18" s="1"/>
  <c r="S60" i="18" a="1"/>
  <c r="S60" i="18" s="1"/>
  <c r="S44" i="18" a="1"/>
  <c r="S44" i="18" s="1"/>
  <c r="S28" i="18" a="1"/>
  <c r="S28" i="18" s="1"/>
  <c r="S12" i="18" a="1"/>
  <c r="S12" i="18" s="1"/>
  <c r="P52" i="18" a="1"/>
  <c r="P52" i="18" s="1"/>
  <c r="P34" i="18" a="1"/>
  <c r="P34" i="18" s="1"/>
  <c r="P14" i="18" a="1"/>
  <c r="P14" i="18" s="1"/>
  <c r="O49" i="18" a="1"/>
  <c r="O49" i="18" s="1"/>
  <c r="S59" i="18" a="1"/>
  <c r="S59" i="18" s="1"/>
  <c r="S43" i="18" a="1"/>
  <c r="S43" i="18" s="1"/>
  <c r="S27" i="18" a="1"/>
  <c r="S27" i="18" s="1"/>
  <c r="S11" i="18" a="1"/>
  <c r="S11" i="18" s="1"/>
  <c r="P51" i="18" a="1"/>
  <c r="P51" i="18" s="1"/>
  <c r="R51" i="18" s="1"/>
  <c r="U51" i="18" s="1"/>
  <c r="P33" i="18" a="1"/>
  <c r="P33" i="18" s="1"/>
  <c r="P13" i="18" a="1"/>
  <c r="P13" i="18" s="1"/>
  <c r="O48" i="18" a="1"/>
  <c r="O48" i="18" s="1"/>
  <c r="T30" i="18" a="1"/>
  <c r="T30" i="18" s="1"/>
  <c r="S58" i="18" a="1"/>
  <c r="S58" i="18" s="1"/>
  <c r="S42" i="18" a="1"/>
  <c r="S42" i="18" s="1"/>
  <c r="S26" i="18" a="1"/>
  <c r="S26" i="18" s="1"/>
  <c r="S10" i="18" a="1"/>
  <c r="S10" i="18" s="1"/>
  <c r="P50" i="18" a="1"/>
  <c r="P50" i="18" s="1"/>
  <c r="P12" i="18" a="1"/>
  <c r="P12" i="18" s="1"/>
  <c r="U33" i="18"/>
  <c r="P47" i="18" a="1"/>
  <c r="P47" i="18" s="1"/>
  <c r="R47" i="18" s="1"/>
  <c r="U47" i="18" s="1"/>
  <c r="O29" i="18" a="1"/>
  <c r="O29" i="18" s="1"/>
  <c r="O24" i="18" a="1"/>
  <c r="O24" i="18" s="1"/>
  <c r="T60" i="18" a="1"/>
  <c r="T60" i="18" s="1"/>
  <c r="T44" i="18" a="1"/>
  <c r="T44" i="18" s="1"/>
  <c r="T28" i="18" a="1"/>
  <c r="T28" i="18" s="1"/>
  <c r="T12" i="18" a="1"/>
  <c r="T12" i="18" s="1"/>
  <c r="S56" i="18" a="1"/>
  <c r="S56" i="18" s="1"/>
  <c r="S40" i="18" a="1"/>
  <c r="S40" i="18" s="1"/>
  <c r="S24" i="18" a="1"/>
  <c r="S24" i="18" s="1"/>
  <c r="S8" i="18" a="1"/>
  <c r="S8" i="18" s="1"/>
  <c r="R52" i="18"/>
  <c r="U52" i="18" s="1"/>
  <c r="R4" i="18"/>
  <c r="U4" i="18" s="1"/>
  <c r="P48" i="18" a="1"/>
  <c r="P48" i="18" s="1"/>
  <c r="R48" i="18" s="1"/>
  <c r="U48" i="18" s="1"/>
  <c r="P29" i="18" a="1"/>
  <c r="P29" i="18" s="1"/>
  <c r="R29" i="18" s="1"/>
  <c r="U29" i="18" s="1"/>
  <c r="P10" i="18" a="1"/>
  <c r="P10" i="18" s="1"/>
  <c r="O45" i="18" a="1"/>
  <c r="O45" i="18" s="1"/>
  <c r="O28" i="18" a="1"/>
  <c r="O28" i="18" s="1"/>
  <c r="O25" i="18" a="1"/>
  <c r="O25" i="18" s="1"/>
  <c r="S23" i="18" a="1"/>
  <c r="S23" i="18" s="1"/>
  <c r="S7" i="18" a="1"/>
  <c r="S7" i="18" s="1"/>
  <c r="P46" i="18" a="1"/>
  <c r="P46" i="18" s="1"/>
  <c r="P28" i="18" a="1"/>
  <c r="P28" i="18" s="1"/>
  <c r="P9" i="18" a="1"/>
  <c r="P9" i="18" s="1"/>
  <c r="O44" i="18" a="1"/>
  <c r="O44" i="18" s="1"/>
  <c r="O59" i="18" a="1"/>
  <c r="O59" i="18" s="1"/>
  <c r="O43" i="18" a="1"/>
  <c r="O43" i="18" s="1"/>
  <c r="O27" i="18" a="1"/>
  <c r="O27" i="18" s="1"/>
  <c r="O34" i="18" a="1"/>
  <c r="O34" i="18" s="1"/>
  <c r="T26" i="18" a="1"/>
  <c r="T26" i="18" s="1"/>
  <c r="T10" i="18" a="1"/>
  <c r="T10" i="18" s="1"/>
  <c r="S54" i="18" a="1"/>
  <c r="S54" i="18" s="1"/>
  <c r="S38" i="18" a="1"/>
  <c r="S38" i="18" s="1"/>
  <c r="S22" i="18" a="1"/>
  <c r="S22" i="18" s="1"/>
  <c r="S6" i="18" a="1"/>
  <c r="S6" i="18" s="1"/>
  <c r="P45" i="18" a="1"/>
  <c r="P45" i="18" s="1"/>
  <c r="P27" i="18" a="1"/>
  <c r="P27" i="18" s="1"/>
  <c r="P6" i="18" a="1"/>
  <c r="P6" i="18" s="1"/>
  <c r="R6" i="18" s="1"/>
  <c r="U6" i="18" s="1"/>
  <c r="S37" i="18" a="1"/>
  <c r="S37" i="18" s="1"/>
  <c r="S21" i="18" a="1"/>
  <c r="S21" i="18" s="1"/>
  <c r="S5" i="18" a="1"/>
  <c r="S5" i="18" s="1"/>
  <c r="R33" i="18"/>
  <c r="P61" i="18" a="1"/>
  <c r="P61" i="18" s="1"/>
  <c r="P44" i="18" a="1"/>
  <c r="P44" i="18" s="1"/>
  <c r="R44" i="18" s="1"/>
  <c r="U44" i="18" s="1"/>
  <c r="P26" i="18" a="1"/>
  <c r="P26" i="18" s="1"/>
  <c r="R26" i="18" s="1"/>
  <c r="U26" i="18" s="1"/>
  <c r="P5" i="18" a="1"/>
  <c r="P5" i="18" s="1"/>
  <c r="R5" i="18" s="1"/>
  <c r="U5" i="18" s="1"/>
  <c r="O38" i="18" a="1"/>
  <c r="O38" i="18" s="1"/>
  <c r="S52" i="18" a="1"/>
  <c r="S52" i="18" s="1"/>
  <c r="S36" i="18" a="1"/>
  <c r="S36" i="18" s="1"/>
  <c r="S20" i="18" a="1"/>
  <c r="S20" i="18" s="1"/>
  <c r="S4" i="18" a="1"/>
  <c r="S4" i="18" s="1"/>
  <c r="P60" i="18" a="1"/>
  <c r="P60" i="18" s="1"/>
  <c r="R60" i="18" s="1"/>
  <c r="U60" i="18" s="1"/>
  <c r="P43" i="18" a="1"/>
  <c r="P43" i="18" s="1"/>
  <c r="P25" i="18" a="1"/>
  <c r="P25" i="18" s="1"/>
  <c r="P4" i="18" a="1"/>
  <c r="P4" i="18" s="1"/>
  <c r="O30" i="18" a="1"/>
  <c r="O30" i="18" s="1"/>
  <c r="S19" i="18" a="1"/>
  <c r="S19" i="18" s="1"/>
  <c r="S3" i="18" a="1"/>
  <c r="S3" i="18" s="1"/>
  <c r="P59" i="18" a="1"/>
  <c r="P59" i="18" s="1"/>
  <c r="P42" i="18" a="1"/>
  <c r="P42" i="18" s="1"/>
  <c r="R42" i="18" s="1"/>
  <c r="U42" i="18" s="1"/>
  <c r="P24" i="18" a="1"/>
  <c r="P24" i="18" s="1"/>
  <c r="R24" i="18" s="1"/>
  <c r="U24" i="18" s="1"/>
  <c r="P3" i="18" a="1"/>
  <c r="P3" i="18" s="1"/>
  <c r="R3" i="18" s="1"/>
  <c r="U3" i="18" s="1"/>
  <c r="O21" i="18" a="1"/>
  <c r="O21" i="18" s="1"/>
  <c r="O23" i="18" a="1"/>
  <c r="O23" i="18" s="1"/>
  <c r="P7" i="18" a="1"/>
  <c r="P7" i="18" s="1"/>
  <c r="T6" i="18" a="1"/>
  <c r="T6" i="18" s="1"/>
  <c r="S50" i="18" a="1"/>
  <c r="S50" i="18" s="1"/>
  <c r="S34" i="18" a="1"/>
  <c r="S34" i="18" s="1"/>
  <c r="S18" i="18" a="1"/>
  <c r="S18" i="18" s="1"/>
  <c r="S2" i="18" a="1"/>
  <c r="S2" i="18" s="1"/>
  <c r="R14" i="18"/>
  <c r="U14" i="18" s="1"/>
  <c r="P58" i="18" a="1"/>
  <c r="P58" i="18" s="1"/>
  <c r="P41" i="18" a="1"/>
  <c r="P41" i="18" s="1"/>
  <c r="P22" i="18" a="1"/>
  <c r="P22" i="18" s="1"/>
  <c r="R22" i="18" s="1"/>
  <c r="U22" i="18" s="1"/>
  <c r="P2" i="18" a="1"/>
  <c r="P2" i="18" s="1"/>
  <c r="T37" i="18" a="1"/>
  <c r="T37" i="18" s="1"/>
  <c r="T21" i="18" a="1"/>
  <c r="T21" i="18" s="1"/>
  <c r="T5" i="18" a="1"/>
  <c r="T5" i="18" s="1"/>
  <c r="S49" i="18" a="1"/>
  <c r="S49" i="18" s="1"/>
  <c r="S33" i="18" a="1"/>
  <c r="S33" i="18" s="1"/>
  <c r="S17" i="18" a="1"/>
  <c r="S17" i="18" s="1"/>
  <c r="P57" i="18" a="1"/>
  <c r="P57" i="18" s="1"/>
  <c r="P40" i="18" a="1"/>
  <c r="P40" i="18" s="1"/>
  <c r="R40" i="18" s="1"/>
  <c r="U40" i="18" s="1"/>
  <c r="P21" i="18" a="1"/>
  <c r="P21" i="18" s="1"/>
  <c r="O61" i="18" a="1"/>
  <c r="O61" i="18" s="1"/>
  <c r="S48" i="18" a="1"/>
  <c r="S48" i="18" s="1"/>
  <c r="S32" i="18" a="1"/>
  <c r="S32" i="18" s="1"/>
  <c r="S16" i="18" a="1"/>
  <c r="S16" i="18" s="1"/>
  <c r="P56" i="18" a="1"/>
  <c r="P56" i="18" s="1"/>
  <c r="R56" i="18" s="1"/>
  <c r="U56" i="18" s="1"/>
  <c r="P38" i="18" a="1"/>
  <c r="P38" i="18" s="1"/>
  <c r="R38" i="18" s="1"/>
  <c r="U38" i="18" s="1"/>
  <c r="P20" i="18" a="1"/>
  <c r="P20" i="18" s="1"/>
  <c r="R20" i="18" s="1"/>
  <c r="U20" i="18" s="1"/>
  <c r="O57" i="18" a="1"/>
  <c r="O57" i="18" s="1"/>
  <c r="S15" i="18" a="1"/>
  <c r="S15" i="18" s="1"/>
  <c r="P55" i="18" a="1"/>
  <c r="P55" i="18" s="1"/>
  <c r="R55" i="18" s="1"/>
  <c r="U55" i="18" s="1"/>
  <c r="P37" i="18" a="1"/>
  <c r="P37" i="18" s="1"/>
  <c r="P19" i="18" a="1"/>
  <c r="P19" i="18" s="1"/>
  <c r="O56" i="18" a="1"/>
  <c r="O56" i="18" s="1"/>
  <c r="O51" i="18" a="1"/>
  <c r="O51" i="18" s="1"/>
  <c r="O35" i="18" a="1"/>
  <c r="O35" i="18" s="1"/>
  <c r="O19" i="18" a="1"/>
  <c r="O19" i="18" s="1"/>
  <c r="O8" i="18" a="1"/>
  <c r="O8" i="18" s="1"/>
  <c r="T2" i="18" a="1"/>
  <c r="T2" i="18" s="1"/>
  <c r="S30" i="18" a="1"/>
  <c r="S30" i="18" s="1"/>
  <c r="S14" i="18" a="1"/>
  <c r="S14" i="18" s="1"/>
  <c r="P54" i="18" a="1"/>
  <c r="P54" i="18" s="1"/>
  <c r="R54" i="18" s="1"/>
  <c r="U54" i="18" s="1"/>
  <c r="P36" i="18" a="1"/>
  <c r="P36" i="18" s="1"/>
  <c r="R36" i="18" s="1"/>
  <c r="U36" i="18" s="1"/>
  <c r="P18" i="18" a="1"/>
  <c r="P18" i="18" s="1"/>
  <c r="R18" i="18" s="1"/>
  <c r="U18" i="18" s="1"/>
  <c r="O18" i="18" a="1"/>
  <c r="O18" i="18" s="1"/>
  <c r="O9" i="18" a="1"/>
  <c r="O9" i="18" s="1"/>
  <c r="R59" i="18"/>
  <c r="U59" i="18" s="1"/>
  <c r="R27" i="18"/>
  <c r="U27" i="18" s="1"/>
  <c r="R57" i="18"/>
  <c r="R25" i="18"/>
  <c r="U58" i="18"/>
  <c r="R58" i="18"/>
  <c r="R37" i="18"/>
  <c r="U37" i="18" s="1"/>
  <c r="R35" i="18"/>
  <c r="U35" i="18" s="1"/>
  <c r="U45" i="18"/>
  <c r="R45" i="18"/>
  <c r="R34" i="18"/>
  <c r="U34" i="18" s="1"/>
  <c r="R13" i="18"/>
  <c r="U13" i="18" s="1"/>
  <c r="R2" i="18"/>
  <c r="U2" i="18" s="1"/>
  <c r="R53" i="18"/>
  <c r="U53" i="18" s="1"/>
  <c r="R21" i="18"/>
  <c r="U21" i="18" s="1"/>
  <c r="R10" i="18"/>
  <c r="U10" i="18" s="1"/>
  <c r="R41" i="18"/>
  <c r="U41" i="18" s="1"/>
  <c r="R9" i="18"/>
  <c r="R32" i="18"/>
  <c r="U32" i="18" s="1"/>
  <c r="R61" i="18"/>
  <c r="U61" i="18" s="1"/>
  <c r="U50" i="18"/>
  <c r="R50" i="18"/>
  <c r="R43" i="18"/>
  <c r="U43" i="18" s="1"/>
  <c r="R11" i="18"/>
  <c r="U11" i="18" s="1"/>
  <c r="R49" i="18"/>
  <c r="U49" i="18" s="1"/>
  <c r="R19" i="18"/>
  <c r="U19" i="18" s="1"/>
  <c r="R46" i="18"/>
  <c r="U46" i="18" s="1"/>
  <c r="R30" i="18"/>
  <c r="U30" i="18" s="1"/>
  <c r="R7" i="18"/>
  <c r="U7" i="18" s="1"/>
  <c r="R28" i="18"/>
  <c r="U28" i="18" s="1"/>
  <c r="R12" i="18"/>
  <c r="U12" i="18" s="1"/>
  <c r="O32" i="18" a="1"/>
  <c r="O32" i="18" s="1"/>
  <c r="O16" i="18" a="1"/>
  <c r="O16" i="18" s="1"/>
  <c r="U57" i="18"/>
  <c r="U25" i="18"/>
  <c r="U9" i="18"/>
  <c r="O15" i="18" a="1"/>
  <c r="O15" i="18" s="1"/>
  <c r="O55" i="18" a="1"/>
  <c r="O55" i="18" s="1"/>
  <c r="O39" i="18" a="1"/>
  <c r="O39" i="18" s="1"/>
  <c r="O31" i="18" a="1"/>
  <c r="O31" i="18" s="1"/>
  <c r="O7" i="18" a="1"/>
  <c r="O7" i="18" s="1"/>
  <c r="O22" i="18" a="1"/>
  <c r="O22" i="18" s="1"/>
  <c r="O14" i="18" a="1"/>
  <c r="O14" i="18" s="1"/>
  <c r="O6" i="18" a="1"/>
  <c r="O6" i="18" s="1"/>
  <c r="O5" i="18" a="1"/>
  <c r="O5" i="18" s="1"/>
  <c r="O37" i="18" a="1"/>
  <c r="O37" i="18" s="1"/>
  <c r="O13" i="18" a="1"/>
  <c r="O13" i="18" s="1"/>
  <c r="O4" i="18" a="1"/>
  <c r="O4" i="18" s="1"/>
  <c r="P16" i="18" a="1"/>
  <c r="P16" i="18" s="1"/>
  <c r="R16" i="18" s="1"/>
  <c r="U16" i="18" s="1"/>
  <c r="P8" i="18" a="1"/>
  <c r="P8" i="18" s="1"/>
  <c r="R8" i="18" s="1"/>
  <c r="U8" i="18" s="1"/>
  <c r="O60" i="18" a="1"/>
  <c r="O60" i="18" s="1"/>
  <c r="O52" i="18" a="1"/>
  <c r="O52" i="18" s="1"/>
  <c r="O36" i="18" a="1"/>
  <c r="O36" i="18" s="1"/>
  <c r="O20" i="18" a="1"/>
  <c r="O20" i="18" s="1"/>
  <c r="O12" i="18" a="1"/>
  <c r="O12" i="18" s="1"/>
  <c r="P31" i="18" a="1"/>
  <c r="P31" i="18" s="1"/>
  <c r="R31" i="18" s="1"/>
  <c r="U31" i="18" s="1"/>
  <c r="P15" i="18" a="1"/>
  <c r="P15" i="18" s="1"/>
  <c r="R15" i="18" s="1"/>
  <c r="U15" i="18" s="1"/>
  <c r="O11" i="18" a="1"/>
  <c r="O11" i="18" s="1"/>
  <c r="O3" i="18" a="1"/>
  <c r="O3" i="18" s="1"/>
  <c r="P39" i="18" a="1"/>
  <c r="P39" i="18" s="1"/>
  <c r="R39" i="18" s="1"/>
  <c r="U39" i="18" s="1"/>
  <c r="P23" i="18" a="1"/>
  <c r="P23" i="18" s="1"/>
  <c r="R23" i="18" s="1"/>
  <c r="U23" i="18" s="1"/>
  <c r="O50" i="18" a="1"/>
  <c r="O50" i="18" s="1"/>
  <c r="O10" i="18" a="1"/>
  <c r="O10" i="18" s="1"/>
  <c r="O2" i="18" a="1"/>
  <c r="O2" i="18" s="1"/>
  <c r="O58" i="18" a="1"/>
  <c r="O58" i="18" s="1"/>
  <c r="O42" i="18" a="1"/>
  <c r="O42" i="18" s="1"/>
  <c r="O26" i="18" a="1"/>
  <c r="O26" i="18" s="1"/>
  <c r="O17" i="18" a="1"/>
  <c r="O17" i="18" s="1"/>
  <c r="O33" i="18" a="1"/>
  <c r="O33" i="18" s="1"/>
  <c r="V35" i="17" a="1"/>
  <c r="V35" i="17" s="1"/>
  <c r="U46" i="17" a="1"/>
  <c r="U46" i="17" s="1"/>
  <c r="T34" i="17" a="1"/>
  <c r="T34" i="17" s="1"/>
  <c r="X52" i="17" a="1"/>
  <c r="X52" i="17" s="1"/>
  <c r="Y52" i="17" s="1"/>
  <c r="X4" i="17" a="1"/>
  <c r="X4" i="17" s="1"/>
  <c r="Y4" i="17" s="1"/>
  <c r="V44" i="17" a="1"/>
  <c r="V44" i="17" s="1"/>
  <c r="T27" i="17" a="1"/>
  <c r="T27" i="17" s="1"/>
  <c r="X26" i="17" a="1"/>
  <c r="X26" i="17" s="1"/>
  <c r="Y26" i="17" s="1"/>
  <c r="V15" i="17" a="1"/>
  <c r="V15" i="17" s="1"/>
  <c r="X6" i="17" a="1"/>
  <c r="X6" i="17" s="1"/>
  <c r="Y6" i="17" s="1"/>
  <c r="T43" i="17" a="1"/>
  <c r="T43" i="17" s="1"/>
  <c r="X22" i="17" a="1"/>
  <c r="X22" i="17" s="1"/>
  <c r="Y22" i="17" s="1"/>
  <c r="T2" i="17" a="1"/>
  <c r="T2" i="17" s="1"/>
  <c r="R45" i="17" a="1"/>
  <c r="R45" i="17" s="1"/>
  <c r="X49" i="17" a="1"/>
  <c r="X49" i="17" s="1"/>
  <c r="Y49" i="17" s="1"/>
  <c r="X35" i="17" a="1"/>
  <c r="X35" i="17" s="1"/>
  <c r="X25" i="17" a="1"/>
  <c r="X25" i="17" s="1"/>
  <c r="Y25" i="17" s="1"/>
  <c r="U42" i="17" a="1"/>
  <c r="U42" i="17" s="1"/>
  <c r="S7" i="17" a="1"/>
  <c r="S7" i="17" s="1"/>
  <c r="X48" i="17" a="1"/>
  <c r="X48" i="17" s="1"/>
  <c r="Y48" i="17" s="1"/>
  <c r="V42" i="17" a="1"/>
  <c r="V42" i="17" s="1"/>
  <c r="U36" i="17" a="1"/>
  <c r="U36" i="17" s="1"/>
  <c r="R16" i="17" a="1"/>
  <c r="R16" i="17" s="1"/>
  <c r="X14" i="17" a="1"/>
  <c r="X14" i="17" s="1"/>
  <c r="Y14" i="17" s="1"/>
  <c r="V41" i="17" a="1"/>
  <c r="V41" i="17" s="1"/>
  <c r="U18" i="17" a="1"/>
  <c r="U18" i="17" s="1"/>
  <c r="R32" i="17" a="1"/>
  <c r="R32" i="17" s="1"/>
  <c r="N15" i="17" a="1"/>
  <c r="N15" i="17" s="1"/>
  <c r="X21" i="17" a="1"/>
  <c r="X21" i="17" s="1"/>
  <c r="Y21" i="17" s="1"/>
  <c r="X24" i="17" a="1"/>
  <c r="X24" i="17" s="1"/>
  <c r="Y24" i="17" s="1"/>
  <c r="X16" i="17" a="1"/>
  <c r="X16" i="17" s="1"/>
  <c r="Y16" i="17" s="1"/>
  <c r="X9" i="17" a="1"/>
  <c r="X9" i="17" s="1"/>
  <c r="Y9" i="17" s="1"/>
  <c r="X23" i="17" a="1"/>
  <c r="X23" i="17" s="1"/>
  <c r="Y23" i="17" s="1"/>
  <c r="V20" i="17" a="1"/>
  <c r="V20" i="17" s="1"/>
  <c r="U3" i="17" a="1"/>
  <c r="U3" i="17" s="1"/>
  <c r="U23" i="17" a="1"/>
  <c r="U23" i="17" s="1"/>
  <c r="X42" i="17" a="1"/>
  <c r="X42" i="17" s="1"/>
  <c r="Y42" i="17" s="1"/>
  <c r="X29" i="17" a="1"/>
  <c r="X29" i="17" s="1"/>
  <c r="Y29" i="17" s="1"/>
  <c r="N52" i="17" a="1"/>
  <c r="N52" i="17" s="1"/>
  <c r="X43" i="17" a="1"/>
  <c r="X43" i="17" s="1"/>
  <c r="Y43" i="17" s="1"/>
  <c r="X31" i="17" a="1"/>
  <c r="X31" i="17" s="1"/>
  <c r="Y31" i="17" s="1"/>
  <c r="X28" i="17" a="1"/>
  <c r="X28" i="17" s="1"/>
  <c r="Y28" i="17" s="1"/>
  <c r="T15" i="17" a="1"/>
  <c r="T15" i="17" s="1"/>
  <c r="X10" i="17" a="1"/>
  <c r="X10" i="17" s="1"/>
  <c r="Y10" i="17" s="1"/>
  <c r="X13" i="17" a="1"/>
  <c r="X13" i="17" s="1"/>
  <c r="Y13" i="17" s="1"/>
  <c r="X53" i="17" a="1"/>
  <c r="X53" i="17" s="1"/>
  <c r="Y53" i="17" s="1"/>
  <c r="T50" i="17" a="1"/>
  <c r="T50" i="17" s="1"/>
  <c r="X15" i="17" a="1"/>
  <c r="X15" i="17" s="1"/>
  <c r="Y15" i="17" s="1"/>
  <c r="V4" i="17" a="1"/>
  <c r="V4" i="17" s="1"/>
  <c r="V21" i="17" a="1"/>
  <c r="V21" i="17" s="1"/>
  <c r="V31" i="17" a="1"/>
  <c r="V31" i="17" s="1"/>
  <c r="T31" i="17" a="1"/>
  <c r="T31" i="17" s="1"/>
  <c r="V51" i="17" a="1"/>
  <c r="V51" i="17" s="1"/>
  <c r="V46" i="17" a="1"/>
  <c r="V46" i="17" s="1"/>
  <c r="V28" i="17" a="1"/>
  <c r="V28" i="17" s="1"/>
  <c r="T30" i="17" a="1"/>
  <c r="T30" i="17" s="1"/>
  <c r="X45" i="17" a="1"/>
  <c r="X45" i="17" s="1"/>
  <c r="Y45" i="17" s="1"/>
  <c r="V14" i="17" a="1"/>
  <c r="V14" i="17" s="1"/>
  <c r="X54" i="17" a="1"/>
  <c r="X54" i="17" s="1"/>
  <c r="V16" i="17" a="1"/>
  <c r="V16" i="17" s="1"/>
  <c r="V7" i="17" a="1"/>
  <c r="V7" i="17" s="1"/>
  <c r="O34" i="17" a="1"/>
  <c r="O34" i="17" s="1"/>
  <c r="X41" i="17" a="1"/>
  <c r="X41" i="17" s="1"/>
  <c r="Y41" i="17" s="1"/>
  <c r="X8" i="17" a="1"/>
  <c r="X8" i="17" s="1"/>
  <c r="Y8" i="17" s="1"/>
  <c r="X38" i="17" a="1"/>
  <c r="X38" i="17" s="1"/>
  <c r="Y38" i="17" s="1"/>
  <c r="V11" i="17" a="1"/>
  <c r="V11" i="17" s="1"/>
  <c r="V54" i="17" a="1"/>
  <c r="V54" i="17" s="1"/>
  <c r="U12" i="17" a="1"/>
  <c r="U12" i="17" s="1"/>
  <c r="X50" i="17" a="1"/>
  <c r="X50" i="17" s="1"/>
  <c r="Y50" i="17" s="1"/>
  <c r="X37" i="17" a="1"/>
  <c r="X37" i="17" s="1"/>
  <c r="Y37" i="17" s="1"/>
  <c r="V6" i="17" a="1"/>
  <c r="V6" i="17" s="1"/>
  <c r="U11" i="17" a="1"/>
  <c r="U11" i="17" s="1"/>
  <c r="N53" i="17" a="1"/>
  <c r="N53" i="17" s="1"/>
  <c r="N8" i="17" a="1"/>
  <c r="N8" i="17" s="1"/>
  <c r="U55" i="17" a="1"/>
  <c r="U55" i="17" s="1"/>
  <c r="X55" i="17" a="1"/>
  <c r="X55" i="17" s="1"/>
  <c r="Y55" i="17" s="1"/>
  <c r="R55" i="17" a="1"/>
  <c r="R55" i="17" s="1"/>
  <c r="S55" i="17" a="1"/>
  <c r="S55" i="17" s="1"/>
  <c r="N55" i="17" a="1"/>
  <c r="N55" i="17" s="1"/>
  <c r="V55" i="17" a="1"/>
  <c r="V55" i="17" s="1"/>
  <c r="O55" i="17" a="1"/>
  <c r="O55" i="17" s="1"/>
  <c r="N35" i="17" a="1"/>
  <c r="N35" i="17" s="1"/>
  <c r="U35" i="17" a="1"/>
  <c r="U35" i="17" s="1"/>
  <c r="O35" i="17" a="1"/>
  <c r="O35" i="17" s="1"/>
  <c r="R35" i="17" a="1"/>
  <c r="R35" i="17" s="1"/>
  <c r="S35" i="17" a="1"/>
  <c r="S35" i="17" s="1"/>
  <c r="T35" i="17" a="1"/>
  <c r="T35" i="17" s="1"/>
  <c r="T16" i="17" a="1"/>
  <c r="T16" i="17" s="1"/>
  <c r="U26" i="17" a="1"/>
  <c r="U26" i="17" s="1"/>
  <c r="U19" i="17" a="1"/>
  <c r="U19" i="17" s="1"/>
  <c r="U45" i="17" a="1"/>
  <c r="U45" i="17" s="1"/>
  <c r="U49" i="17" a="1"/>
  <c r="U49" i="17" s="1"/>
  <c r="V13" i="17" a="1"/>
  <c r="V13" i="17" s="1"/>
  <c r="V38" i="17" a="1"/>
  <c r="V38" i="17" s="1"/>
  <c r="T22" i="17" a="1"/>
  <c r="T22" i="17" s="1"/>
  <c r="T53" i="17" a="1"/>
  <c r="T53" i="17" s="1"/>
  <c r="T41" i="17" a="1"/>
  <c r="T41" i="17" s="1"/>
  <c r="U2" i="17" a="1"/>
  <c r="U2" i="17" s="1"/>
  <c r="U30" i="17" a="1"/>
  <c r="U30" i="17" s="1"/>
  <c r="U10" i="17" a="1"/>
  <c r="U10" i="17" s="1"/>
  <c r="V23" i="17" a="1"/>
  <c r="V23" i="17" s="1"/>
  <c r="O3" i="17" a="1"/>
  <c r="O3" i="17" s="1"/>
  <c r="T13" i="17" a="1"/>
  <c r="T13" i="17" s="1"/>
  <c r="T38" i="17" a="1"/>
  <c r="T38" i="17" s="1"/>
  <c r="T21" i="17" a="1"/>
  <c r="T21" i="17" s="1"/>
  <c r="U27" i="17" a="1"/>
  <c r="U27" i="17" s="1"/>
  <c r="U34" i="17" a="1"/>
  <c r="U34" i="17" s="1"/>
  <c r="U15" i="17" a="1"/>
  <c r="U15" i="17" s="1"/>
  <c r="U50" i="17" a="1"/>
  <c r="U50" i="17" s="1"/>
  <c r="V18" i="17" a="1"/>
  <c r="V18" i="17" s="1"/>
  <c r="V24" i="17" a="1"/>
  <c r="V24" i="17" s="1"/>
  <c r="V9" i="17" a="1"/>
  <c r="V9" i="17" s="1"/>
  <c r="V43" i="17" a="1"/>
  <c r="V43" i="17" s="1"/>
  <c r="X2" i="17" a="1"/>
  <c r="X2" i="17" s="1"/>
  <c r="Y2" i="17" s="1"/>
  <c r="X34" i="17" a="1"/>
  <c r="X34" i="17" s="1"/>
  <c r="Y34" i="17" s="1"/>
  <c r="Q34" i="17" s="1"/>
  <c r="W34" i="17" s="1"/>
  <c r="U32" i="17" a="1"/>
  <c r="U32" i="17" s="1"/>
  <c r="U51" i="17" a="1"/>
  <c r="U51" i="17" s="1"/>
  <c r="S10" i="17" a="1"/>
  <c r="S10" i="17" s="1"/>
  <c r="S50" i="17" a="1"/>
  <c r="S50" i="17" s="1"/>
  <c r="T18" i="17" a="1"/>
  <c r="T18" i="17" s="1"/>
  <c r="T39" i="17" a="1"/>
  <c r="T39" i="17" s="1"/>
  <c r="T46" i="17" a="1"/>
  <c r="T46" i="17" s="1"/>
  <c r="U52" i="17" a="1"/>
  <c r="U52" i="17" s="1"/>
  <c r="U20" i="17" a="1"/>
  <c r="U20" i="17" s="1"/>
  <c r="X12" i="17" a="1"/>
  <c r="X12" i="17" s="1"/>
  <c r="Y12" i="17" s="1"/>
  <c r="X32" i="17" a="1"/>
  <c r="X32" i="17" s="1"/>
  <c r="Y32" i="17" s="1"/>
  <c r="X20" i="17" a="1"/>
  <c r="X20" i="17" s="1"/>
  <c r="X51" i="17" a="1"/>
  <c r="X51" i="17" s="1"/>
  <c r="Y51" i="17" s="1"/>
  <c r="U16" i="17" a="1"/>
  <c r="U16" i="17" s="1"/>
  <c r="V19" i="17" a="1"/>
  <c r="V19" i="17" s="1"/>
  <c r="V45" i="17" a="1"/>
  <c r="V45" i="17" s="1"/>
  <c r="X11" i="17" a="1"/>
  <c r="X11" i="17" s="1"/>
  <c r="Y11" i="17" s="1"/>
  <c r="U41" i="17" a="1"/>
  <c r="U41" i="17" s="1"/>
  <c r="V10" i="17" a="1"/>
  <c r="V10" i="17" s="1"/>
  <c r="V49" i="17" a="1"/>
  <c r="V49" i="17" s="1"/>
  <c r="X40" i="17" a="1"/>
  <c r="X40" i="17" s="1"/>
  <c r="Y40" i="17" s="1"/>
  <c r="V34" i="17" a="1"/>
  <c r="V34" i="17" s="1"/>
  <c r="U8" i="17" a="1"/>
  <c r="U8" i="17" s="1"/>
  <c r="U37" i="17" a="1"/>
  <c r="U37" i="17" s="1"/>
  <c r="V26" i="17" a="1"/>
  <c r="V26" i="17" s="1"/>
  <c r="X3" i="17" a="1"/>
  <c r="X3" i="17" s="1"/>
  <c r="Y3" i="17" s="1"/>
  <c r="Q3" i="17" s="1"/>
  <c r="W3" i="17" s="1"/>
  <c r="X36" i="17" a="1"/>
  <c r="X36" i="17" s="1"/>
  <c r="Y36" i="17" s="1"/>
  <c r="V30" i="17" a="1"/>
  <c r="V30" i="17" s="1"/>
  <c r="X33" i="17" a="1"/>
  <c r="X33" i="17" s="1"/>
  <c r="V50" i="17" a="1"/>
  <c r="V50" i="17" s="1"/>
  <c r="T5" i="17" a="1"/>
  <c r="T5" i="17" s="1"/>
  <c r="T45" i="17" a="1"/>
  <c r="T45" i="17" s="1"/>
  <c r="U22" i="17" a="1"/>
  <c r="U22" i="17" s="1"/>
  <c r="U53" i="17" a="1"/>
  <c r="U53" i="17" s="1"/>
  <c r="V2" i="17" a="1"/>
  <c r="V2" i="17" s="1"/>
  <c r="X17" i="17" a="1"/>
  <c r="X17" i="17" s="1"/>
  <c r="Y17" i="17" s="1"/>
  <c r="X56" i="17" a="1"/>
  <c r="X56" i="17" s="1"/>
  <c r="Y56" i="17" s="1"/>
  <c r="T19" i="17" a="1"/>
  <c r="T19" i="17" s="1"/>
  <c r="T10" i="17" a="1"/>
  <c r="T10" i="17" s="1"/>
  <c r="T49" i="17" a="1"/>
  <c r="T49" i="17" s="1"/>
  <c r="U13" i="17" a="1"/>
  <c r="U13" i="17" s="1"/>
  <c r="U38" i="17" a="1"/>
  <c r="U38" i="17" s="1"/>
  <c r="U21" i="17" a="1"/>
  <c r="U21" i="17" s="1"/>
  <c r="V27" i="17" a="1"/>
  <c r="V27" i="17" s="1"/>
  <c r="N16" i="17" a="1"/>
  <c r="N16" i="17" s="1"/>
  <c r="O29" i="17" a="1"/>
  <c r="O29" i="17" s="1"/>
  <c r="O36" i="17" a="1"/>
  <c r="O36" i="17" s="1"/>
  <c r="O42" i="17" a="1"/>
  <c r="O42" i="17" s="1"/>
  <c r="R27" i="17" a="1"/>
  <c r="R27" i="17" s="1"/>
  <c r="R36" i="17" a="1"/>
  <c r="R36" i="17" s="1"/>
  <c r="R40" i="17" a="1"/>
  <c r="R40" i="17" s="1"/>
  <c r="S3" i="17" a="1"/>
  <c r="S3" i="17" s="1"/>
  <c r="T52" i="17" a="1"/>
  <c r="T52" i="17" s="1"/>
  <c r="T6" i="17" a="1"/>
  <c r="T6" i="17" s="1"/>
  <c r="U24" i="17" a="1"/>
  <c r="U24" i="17" s="1"/>
  <c r="U9" i="17" a="1"/>
  <c r="U9" i="17" s="1"/>
  <c r="U43" i="17" a="1"/>
  <c r="U43" i="17" s="1"/>
  <c r="V12" i="17" a="1"/>
  <c r="V12" i="17" s="1"/>
  <c r="V32" i="17" a="1"/>
  <c r="V32" i="17" s="1"/>
  <c r="V36" i="17" a="1"/>
  <c r="V36" i="17" s="1"/>
  <c r="N3" i="17" a="1"/>
  <c r="N3" i="17" s="1"/>
  <c r="U54" i="17" a="1"/>
  <c r="U54" i="17" s="1"/>
  <c r="U47" i="17" a="1"/>
  <c r="U47" i="17" s="1"/>
  <c r="V3" i="17" a="1"/>
  <c r="V3" i="17" s="1"/>
  <c r="V33" i="17" a="1"/>
  <c r="V33" i="17" s="1"/>
  <c r="V40" i="17" a="1"/>
  <c r="V40" i="17" s="1"/>
  <c r="V56" i="17" a="1"/>
  <c r="V56" i="17" s="1"/>
  <c r="X18" i="17" a="1"/>
  <c r="X18" i="17" s="1"/>
  <c r="Y18" i="17" s="1"/>
  <c r="X39" i="17" a="1"/>
  <c r="X39" i="17" s="1"/>
  <c r="Y39" i="17" s="1"/>
  <c r="X46" i="17" a="1"/>
  <c r="X46" i="17" s="1"/>
  <c r="Y46" i="17" s="1"/>
  <c r="R3" i="17" a="1"/>
  <c r="R3" i="17" s="1"/>
  <c r="T3" i="17" a="1"/>
  <c r="T3" i="17" s="1"/>
  <c r="T11" i="17" a="1"/>
  <c r="T11" i="17" s="1"/>
  <c r="U25" i="17" a="1"/>
  <c r="U25" i="17" s="1"/>
  <c r="U14" i="17" a="1"/>
  <c r="U14" i="17" s="1"/>
  <c r="U44" i="17" a="1"/>
  <c r="U44" i="17" s="1"/>
  <c r="V17" i="17" a="1"/>
  <c r="V17" i="17" s="1"/>
  <c r="V8" i="17" a="1"/>
  <c r="V8" i="17" s="1"/>
  <c r="V37" i="17" a="1"/>
  <c r="V37" i="17" s="1"/>
  <c r="T40" i="17" a="1"/>
  <c r="T40" i="17" s="1"/>
  <c r="T56" i="17" a="1"/>
  <c r="T56" i="17" s="1"/>
  <c r="U29" i="17" a="1"/>
  <c r="U29" i="17" s="1"/>
  <c r="U5" i="17" a="1"/>
  <c r="U5" i="17" s="1"/>
  <c r="U48" i="17" a="1"/>
  <c r="U48" i="17" s="1"/>
  <c r="V22" i="17" a="1"/>
  <c r="V22" i="17" s="1"/>
  <c r="V53" i="17" a="1"/>
  <c r="V53" i="17" s="1"/>
  <c r="Y35" i="17"/>
  <c r="N7" i="17" a="1"/>
  <c r="N7" i="17" s="1"/>
  <c r="N19" i="17" a="1"/>
  <c r="N19" i="17" s="1"/>
  <c r="U39" i="17" a="1"/>
  <c r="U39" i="17" s="1"/>
  <c r="T55" i="17" a="1"/>
  <c r="T55" i="17" s="1"/>
  <c r="S16" i="17" a="1"/>
  <c r="S16" i="17" s="1"/>
  <c r="N23" i="17" a="1"/>
  <c r="N23" i="17" s="1"/>
  <c r="S40" i="17" a="1"/>
  <c r="S40" i="17" s="1"/>
  <c r="V52" i="17" a="1"/>
  <c r="V52" i="17" s="1"/>
  <c r="O50" i="17" a="1"/>
  <c r="O50" i="17" s="1"/>
  <c r="U4" i="17" a="1"/>
  <c r="U4" i="17" s="1"/>
  <c r="S36" i="17" a="1"/>
  <c r="S36" i="17" s="1"/>
  <c r="O43" i="17" a="1"/>
  <c r="O43" i="17" s="1"/>
  <c r="Q43" i="17" s="1"/>
  <c r="W43" i="17" s="1"/>
  <c r="V39" i="17" a="1"/>
  <c r="V39" i="17" s="1"/>
  <c r="V25" i="17" a="1"/>
  <c r="V25" i="17" s="1"/>
  <c r="S32" i="17" a="1"/>
  <c r="S32" i="17" s="1"/>
  <c r="O31" i="17" a="1"/>
  <c r="O31" i="17" s="1"/>
  <c r="Q31" i="17" s="1"/>
  <c r="W31" i="17" s="1"/>
  <c r="T9" i="17" a="1"/>
  <c r="T9" i="17" s="1"/>
  <c r="O23" i="17" a="1"/>
  <c r="O23" i="17" s="1"/>
  <c r="Q23" i="17" s="1"/>
  <c r="W23" i="17" s="1"/>
  <c r="S52" i="17" a="1"/>
  <c r="S52" i="17" s="1"/>
  <c r="N47" i="17" a="1"/>
  <c r="N47" i="17" s="1"/>
  <c r="Y54" i="17"/>
  <c r="T33" i="17" a="1"/>
  <c r="T33" i="17" s="1"/>
  <c r="T17" i="17" a="1"/>
  <c r="T17" i="17" s="1"/>
  <c r="R53" i="17" a="1"/>
  <c r="R53" i="17" s="1"/>
  <c r="R7" i="17" a="1"/>
  <c r="R7" i="17" s="1"/>
  <c r="O56" i="17" a="1"/>
  <c r="O56" i="17" s="1"/>
  <c r="O39" i="17" a="1"/>
  <c r="O39" i="17" s="1"/>
  <c r="O33" i="17" a="1"/>
  <c r="O33" i="17" s="1"/>
  <c r="O26" i="17" a="1"/>
  <c r="O26" i="17" s="1"/>
  <c r="Q26" i="17" s="1"/>
  <c r="W26" i="17" s="1"/>
  <c r="N49" i="17" a="1"/>
  <c r="N49" i="17" s="1"/>
  <c r="N40" i="17" a="1"/>
  <c r="N40" i="17" s="1"/>
  <c r="N34" i="17" a="1"/>
  <c r="N34" i="17" s="1"/>
  <c r="N21" i="17" a="1"/>
  <c r="N21" i="17" s="1"/>
  <c r="R21" i="17" a="1"/>
  <c r="R21" i="17" s="1"/>
  <c r="N39" i="17" a="1"/>
  <c r="N39" i="17" s="1"/>
  <c r="R39" i="17" a="1"/>
  <c r="R39" i="17" s="1"/>
  <c r="N28" i="17" a="1"/>
  <c r="N28" i="17" s="1"/>
  <c r="R28" i="17" a="1"/>
  <c r="R28" i="17" s="1"/>
  <c r="T36" i="17" a="1"/>
  <c r="T36" i="17" s="1"/>
  <c r="S47" i="17" a="1"/>
  <c r="S47" i="17" s="1"/>
  <c r="S42" i="17" a="1"/>
  <c r="S42" i="17" s="1"/>
  <c r="S38" i="17" a="1"/>
  <c r="S38" i="17" s="1"/>
  <c r="S53" i="17" a="1"/>
  <c r="S53" i="17" s="1"/>
  <c r="S8" i="17" a="1"/>
  <c r="S8" i="17" s="1"/>
  <c r="S17" i="17" a="1"/>
  <c r="S17" i="17" s="1"/>
  <c r="R47" i="17" a="1"/>
  <c r="R47" i="17" s="1"/>
  <c r="R43" i="17" a="1"/>
  <c r="R43" i="17" s="1"/>
  <c r="R38" i="17" a="1"/>
  <c r="R38" i="17" s="1"/>
  <c r="O38" i="17" a="1"/>
  <c r="O38" i="17" s="1"/>
  <c r="Q38" i="17" s="1"/>
  <c r="W38" i="17" s="1"/>
  <c r="O25" i="17" a="1"/>
  <c r="O25" i="17" s="1"/>
  <c r="Q25" i="17" s="1"/>
  <c r="W25" i="17" s="1"/>
  <c r="U28" i="17" a="1"/>
  <c r="U28" i="17" s="1"/>
  <c r="T51" i="17" a="1"/>
  <c r="T51" i="17" s="1"/>
  <c r="T20" i="17" a="1"/>
  <c r="T20" i="17" s="1"/>
  <c r="T32" i="17" a="1"/>
  <c r="T32" i="17" s="1"/>
  <c r="T12" i="17" a="1"/>
  <c r="T12" i="17" s="1"/>
  <c r="R33" i="17" a="1"/>
  <c r="R33" i="17" s="1"/>
  <c r="O51" i="17" a="1"/>
  <c r="O51" i="17" s="1"/>
  <c r="O32" i="17" a="1"/>
  <c r="O32" i="17" s="1"/>
  <c r="O24" i="17" a="1"/>
  <c r="O24" i="17" s="1"/>
  <c r="Q24" i="17" s="1"/>
  <c r="W24" i="17" s="1"/>
  <c r="N48" i="17" a="1"/>
  <c r="N48" i="17" s="1"/>
  <c r="N20" i="17" a="1"/>
  <c r="N20" i="17" s="1"/>
  <c r="T7" i="17" a="1"/>
  <c r="T7" i="17" s="1"/>
  <c r="S21" i="17" a="1"/>
  <c r="S21" i="17" s="1"/>
  <c r="S41" i="17" a="1"/>
  <c r="S41" i="17" s="1"/>
  <c r="S37" i="17" a="1"/>
  <c r="S37" i="17" s="1"/>
  <c r="S33" i="17" a="1"/>
  <c r="S33" i="17" s="1"/>
  <c r="S12" i="17" a="1"/>
  <c r="S12" i="17" s="1"/>
  <c r="R46" i="17" a="1"/>
  <c r="R46" i="17" s="1"/>
  <c r="R41" i="17" a="1"/>
  <c r="R41" i="17" s="1"/>
  <c r="R37" i="17" a="1"/>
  <c r="R37" i="17" s="1"/>
  <c r="R52" i="17" a="1"/>
  <c r="R52" i="17" s="1"/>
  <c r="O45" i="17" a="1"/>
  <c r="O45" i="17" s="1"/>
  <c r="Q45" i="17" s="1"/>
  <c r="W45" i="17" s="1"/>
  <c r="O37" i="17" a="1"/>
  <c r="O37" i="17" s="1"/>
  <c r="Q37" i="17" s="1"/>
  <c r="W37" i="17" s="1"/>
  <c r="N4" i="17" a="1"/>
  <c r="N4" i="17" s="1"/>
  <c r="T26" i="17" a="1"/>
  <c r="T26" i="17" s="1"/>
  <c r="R31" i="17" a="1"/>
  <c r="R31" i="17" s="1"/>
  <c r="O49" i="17" a="1"/>
  <c r="O49" i="17" s="1"/>
  <c r="O41" i="17" a="1"/>
  <c r="O41" i="17" s="1"/>
  <c r="Q41" i="17" s="1"/>
  <c r="W41" i="17" s="1"/>
  <c r="O28" i="17" a="1"/>
  <c r="O28" i="17" s="1"/>
  <c r="O22" i="17" a="1"/>
  <c r="O22" i="17" s="1"/>
  <c r="N11" i="17" a="1"/>
  <c r="N11" i="17" s="1"/>
  <c r="N10" i="17" a="1"/>
  <c r="N10" i="17" s="1"/>
  <c r="N33" i="17" a="1"/>
  <c r="N33" i="17" s="1"/>
  <c r="N27" i="17" a="1"/>
  <c r="N27" i="17" s="1"/>
  <c r="Y33" i="17"/>
  <c r="O44" i="17" a="1"/>
  <c r="O44" i="17" s="1"/>
  <c r="X44" i="17" a="1"/>
  <c r="X44" i="17" s="1"/>
  <c r="Y44" i="17" s="1"/>
  <c r="Q44" i="17" s="1"/>
  <c r="W44" i="17" s="1"/>
  <c r="O19" i="17" a="1"/>
  <c r="O19" i="17" s="1"/>
  <c r="X19" i="17" a="1"/>
  <c r="X19" i="17" s="1"/>
  <c r="Y19" i="17" s="1"/>
  <c r="Q19" i="17" s="1"/>
  <c r="W19" i="17" s="1"/>
  <c r="O27" i="17" a="1"/>
  <c r="O27" i="17" s="1"/>
  <c r="X27" i="17" a="1"/>
  <c r="X27" i="17" s="1"/>
  <c r="Y27" i="17" s="1"/>
  <c r="T29" i="17" a="1"/>
  <c r="T29" i="17" s="1"/>
  <c r="S56" i="17" a="1"/>
  <c r="S56" i="17" s="1"/>
  <c r="S11" i="17" a="1"/>
  <c r="S11" i="17" s="1"/>
  <c r="S20" i="17" a="1"/>
  <c r="S20" i="17" s="1"/>
  <c r="S31" i="17" a="1"/>
  <c r="S31" i="17" s="1"/>
  <c r="S27" i="17" a="1"/>
  <c r="S27" i="17" s="1"/>
  <c r="R56" i="17" a="1"/>
  <c r="R56" i="17" s="1"/>
  <c r="R11" i="17" a="1"/>
  <c r="R11" i="17" s="1"/>
  <c r="R20" i="17" a="1"/>
  <c r="R20" i="17" s="1"/>
  <c r="O18" i="17" a="1"/>
  <c r="O18" i="17" s="1"/>
  <c r="S43" i="17" a="1"/>
  <c r="S43" i="17" s="1"/>
  <c r="N43" i="17" a="1"/>
  <c r="N43" i="17" s="1"/>
  <c r="S14" i="17" a="1"/>
  <c r="S14" i="17" s="1"/>
  <c r="N14" i="17" a="1"/>
  <c r="N14" i="17" s="1"/>
  <c r="R14" i="17" a="1"/>
  <c r="R14" i="17" s="1"/>
  <c r="S26" i="17" a="1"/>
  <c r="S26" i="17" s="1"/>
  <c r="N26" i="17" a="1"/>
  <c r="N26" i="17" s="1"/>
  <c r="R26" i="17" a="1"/>
  <c r="R26" i="17" s="1"/>
  <c r="T48" i="17" a="1"/>
  <c r="T48" i="17" s="1"/>
  <c r="T44" i="17" a="1"/>
  <c r="T44" i="17" s="1"/>
  <c r="T14" i="17" a="1"/>
  <c r="T14" i="17" s="1"/>
  <c r="T25" i="17" a="1"/>
  <c r="T25" i="17" s="1"/>
  <c r="R30" i="17" a="1"/>
  <c r="R30" i="17" s="1"/>
  <c r="O48" i="17" a="1"/>
  <c r="O48" i="17" s="1"/>
  <c r="Q48" i="17" s="1"/>
  <c r="W48" i="17" s="1"/>
  <c r="O40" i="17" a="1"/>
  <c r="O40" i="17" s="1"/>
  <c r="O17" i="17" a="1"/>
  <c r="O17" i="17" s="1"/>
  <c r="N6" i="17" a="1"/>
  <c r="N6" i="17" s="1"/>
  <c r="N5" i="17" a="1"/>
  <c r="N5" i="17" s="1"/>
  <c r="N32" i="17" a="1"/>
  <c r="N32" i="17" s="1"/>
  <c r="N42" i="17" a="1"/>
  <c r="N42" i="17" s="1"/>
  <c r="R42" i="17" a="1"/>
  <c r="R42" i="17" s="1"/>
  <c r="N9" i="17" a="1"/>
  <c r="N9" i="17" s="1"/>
  <c r="R9" i="17" a="1"/>
  <c r="R9" i="17" s="1"/>
  <c r="N24" i="17" a="1"/>
  <c r="N24" i="17" s="1"/>
  <c r="N25" i="17" a="1"/>
  <c r="N25" i="17" s="1"/>
  <c r="R25" i="17" a="1"/>
  <c r="R25" i="17" s="1"/>
  <c r="R29" i="17" a="1"/>
  <c r="R29" i="17" s="1"/>
  <c r="V48" i="17" a="1"/>
  <c r="V48" i="17" s="1"/>
  <c r="V5" i="17" a="1"/>
  <c r="V5" i="17" s="1"/>
  <c r="V29" i="17" a="1"/>
  <c r="V29" i="17" s="1"/>
  <c r="U56" i="17" a="1"/>
  <c r="U56" i="17" s="1"/>
  <c r="U40" i="17" a="1"/>
  <c r="U40" i="17" s="1"/>
  <c r="U33" i="17" a="1"/>
  <c r="U33" i="17" s="1"/>
  <c r="U17" i="17" a="1"/>
  <c r="U17" i="17" s="1"/>
  <c r="T47" i="17" a="1"/>
  <c r="T47" i="17" s="1"/>
  <c r="T54" i="17" a="1"/>
  <c r="T54" i="17" s="1"/>
  <c r="T28" i="17" a="1"/>
  <c r="T28" i="17" s="1"/>
  <c r="S51" i="17" a="1"/>
  <c r="S51" i="17" s="1"/>
  <c r="S6" i="17" a="1"/>
  <c r="S6" i="17" s="1"/>
  <c r="S15" i="17" a="1"/>
  <c r="S15" i="17" s="1"/>
  <c r="S34" i="17" a="1"/>
  <c r="S34" i="17" s="1"/>
  <c r="S30" i="17" a="1"/>
  <c r="S30" i="17" s="1"/>
  <c r="S25" i="17" a="1"/>
  <c r="S25" i="17" s="1"/>
  <c r="R51" i="17" a="1"/>
  <c r="R51" i="17" s="1"/>
  <c r="R6" i="17" a="1"/>
  <c r="R6" i="17" s="1"/>
  <c r="R15" i="17" a="1"/>
  <c r="R15" i="17" s="1"/>
  <c r="R34" i="17" a="1"/>
  <c r="R34" i="17" s="1"/>
  <c r="O46" i="17" a="1"/>
  <c r="O46" i="17" s="1"/>
  <c r="O13" i="17" a="1"/>
  <c r="O13" i="17" s="1"/>
  <c r="Q13" i="17" s="1"/>
  <c r="W13" i="17" s="1"/>
  <c r="N38" i="17" a="1"/>
  <c r="N38" i="17" s="1"/>
  <c r="N22" i="17" a="1"/>
  <c r="N22" i="17" s="1"/>
  <c r="T24" i="17" a="1"/>
  <c r="T24" i="17" s="1"/>
  <c r="R22" i="17" a="1"/>
  <c r="R22" i="17" s="1"/>
  <c r="O21" i="17" a="1"/>
  <c r="O21" i="17" s="1"/>
  <c r="Q21" i="17" s="1"/>
  <c r="W21" i="17" s="1"/>
  <c r="O20" i="17" a="1"/>
  <c r="O20" i="17" s="1"/>
  <c r="O14" i="17" a="1"/>
  <c r="O14" i="17" s="1"/>
  <c r="Q14" i="17" s="1"/>
  <c r="W14" i="17" s="1"/>
  <c r="O12" i="17" a="1"/>
  <c r="O12" i="17" s="1"/>
  <c r="N37" i="17" a="1"/>
  <c r="N37" i="17" s="1"/>
  <c r="N31" i="17" a="1"/>
  <c r="N31" i="17" s="1"/>
  <c r="S19" i="17" a="1"/>
  <c r="S19" i="17" s="1"/>
  <c r="S28" i="17" a="1"/>
  <c r="S28" i="17" s="1"/>
  <c r="S24" i="17" a="1"/>
  <c r="S24" i="17" s="1"/>
  <c r="R50" i="17" a="1"/>
  <c r="R50" i="17" s="1"/>
  <c r="R10" i="17" a="1"/>
  <c r="R10" i="17" s="1"/>
  <c r="R19" i="17" a="1"/>
  <c r="R19" i="17" s="1"/>
  <c r="R18" i="17" a="1"/>
  <c r="R18" i="17" s="1"/>
  <c r="O16" i="17" a="1"/>
  <c r="O16" i="17" s="1"/>
  <c r="Q16" i="17" s="1"/>
  <c r="W16" i="17" s="1"/>
  <c r="O9" i="17" a="1"/>
  <c r="O9" i="17" s="1"/>
  <c r="Q9" i="17" s="1"/>
  <c r="W9" i="17" s="1"/>
  <c r="O8" i="17" a="1"/>
  <c r="O8" i="17" s="1"/>
  <c r="N56" i="17" a="1"/>
  <c r="N56" i="17" s="1"/>
  <c r="N17" i="17" a="1"/>
  <c r="N17" i="17" s="1"/>
  <c r="U6" i="17" a="1"/>
  <c r="U6" i="17" s="1"/>
  <c r="U31" i="17" a="1"/>
  <c r="U31" i="17" s="1"/>
  <c r="U7" i="17" a="1"/>
  <c r="U7" i="17" s="1"/>
  <c r="T42" i="17" a="1"/>
  <c r="T42" i="17" s="1"/>
  <c r="T4" i="17" a="1"/>
  <c r="T4" i="17" s="1"/>
  <c r="T23" i="17" a="1"/>
  <c r="T23" i="17" s="1"/>
  <c r="R17" i="17" a="1"/>
  <c r="R17" i="17" s="1"/>
  <c r="O15" i="17" a="1"/>
  <c r="O15" i="17" s="1"/>
  <c r="Q15" i="17" s="1"/>
  <c r="W15" i="17" s="1"/>
  <c r="O4" i="17" a="1"/>
  <c r="O4" i="17" s="1"/>
  <c r="Q4" i="17" s="1"/>
  <c r="W4" i="17" s="1"/>
  <c r="N51" i="17" a="1"/>
  <c r="N51" i="17" s="1"/>
  <c r="N45" i="17" a="1"/>
  <c r="N45" i="17" s="1"/>
  <c r="N36" i="17" a="1"/>
  <c r="N36" i="17" s="1"/>
  <c r="N30" i="17" a="1"/>
  <c r="N30" i="17" s="1"/>
  <c r="Y20" i="17"/>
  <c r="S49" i="17" a="1"/>
  <c r="S49" i="17" s="1"/>
  <c r="S45" i="17" a="1"/>
  <c r="S45" i="17" s="1"/>
  <c r="S5" i="17" a="1"/>
  <c r="S5" i="17" s="1"/>
  <c r="S9" i="17" a="1"/>
  <c r="S9" i="17" s="1"/>
  <c r="S18" i="17" a="1"/>
  <c r="S18" i="17" s="1"/>
  <c r="S23" i="17" a="1"/>
  <c r="S23" i="17" s="1"/>
  <c r="R49" i="17" a="1"/>
  <c r="R49" i="17" s="1"/>
  <c r="R5" i="17" a="1"/>
  <c r="R5" i="17" s="1"/>
  <c r="R13" i="17" a="1"/>
  <c r="R13" i="17" s="1"/>
  <c r="O11" i="17" a="1"/>
  <c r="O11" i="17" s="1"/>
  <c r="N18" i="17" a="1"/>
  <c r="N18" i="17" s="1"/>
  <c r="N12" i="17" a="1"/>
  <c r="N12" i="17" s="1"/>
  <c r="R4" i="17" a="1"/>
  <c r="R4" i="17" s="1"/>
  <c r="R12" i="17" a="1"/>
  <c r="R12" i="17" s="1"/>
  <c r="O10" i="17" a="1"/>
  <c r="O10" i="17" s="1"/>
  <c r="Q10" i="17" s="1"/>
  <c r="W10" i="17" s="1"/>
  <c r="O53" i="17" a="1"/>
  <c r="O53" i="17" s="1"/>
  <c r="Q53" i="17" s="1"/>
  <c r="W53" i="17" s="1"/>
  <c r="N50" i="17" a="1"/>
  <c r="N50" i="17" s="1"/>
  <c r="N44" i="17" a="1"/>
  <c r="N44" i="17" s="1"/>
  <c r="N13" i="17" a="1"/>
  <c r="N13" i="17" s="1"/>
  <c r="O47" i="17" a="1"/>
  <c r="O47" i="17" s="1"/>
  <c r="O5" i="17" a="1"/>
  <c r="O5" i="17" s="1"/>
  <c r="O30" i="17" a="1"/>
  <c r="O30" i="17" s="1"/>
  <c r="R23" i="17" a="1"/>
  <c r="R23" i="17" s="1"/>
  <c r="T37" i="17" a="1"/>
  <c r="T37" i="17" s="1"/>
  <c r="T8" i="17" a="1"/>
  <c r="T8" i="17" s="1"/>
  <c r="S48" i="17" a="1"/>
  <c r="S48" i="17" s="1"/>
  <c r="S44" i="17" a="1"/>
  <c r="S44" i="17" s="1"/>
  <c r="S39" i="17" a="1"/>
  <c r="S39" i="17" s="1"/>
  <c r="S4" i="17" a="1"/>
  <c r="S4" i="17" s="1"/>
  <c r="S13" i="17" a="1"/>
  <c r="S13" i="17" s="1"/>
  <c r="S22" i="17" a="1"/>
  <c r="S22" i="17" s="1"/>
  <c r="R48" i="17" a="1"/>
  <c r="R48" i="17" s="1"/>
  <c r="R44" i="17" a="1"/>
  <c r="R44" i="17" s="1"/>
  <c r="R54" i="17" a="1"/>
  <c r="R54" i="17" s="1"/>
  <c r="R8" i="17" a="1"/>
  <c r="R8" i="17" s="1"/>
  <c r="O6" i="17" a="1"/>
  <c r="O6" i="17" s="1"/>
  <c r="Q6" i="17" s="1"/>
  <c r="W6" i="17" s="1"/>
  <c r="O54" i="17" a="1"/>
  <c r="O54" i="17" s="1"/>
  <c r="O52" i="17" a="1"/>
  <c r="O52" i="17" s="1"/>
  <c r="Q52" i="17" s="1"/>
  <c r="W52" i="17" s="1"/>
  <c r="N41" i="17" a="1"/>
  <c r="N41" i="17" s="1"/>
  <c r="N46" i="17" a="1"/>
  <c r="N46" i="17" s="1"/>
  <c r="S54" i="17" a="1"/>
  <c r="S54" i="17" s="1"/>
  <c r="S29" i="17" a="1"/>
  <c r="S29" i="17" s="1"/>
  <c r="S2" i="17" a="1"/>
  <c r="S2" i="17" s="1"/>
  <c r="R2" i="17" a="1"/>
  <c r="R2" i="17" s="1"/>
  <c r="X47" i="17" a="1"/>
  <c r="X47" i="17" s="1"/>
  <c r="Y47" i="17" s="1"/>
  <c r="X5" i="17" a="1"/>
  <c r="X5" i="17" s="1"/>
  <c r="Y5" i="17" s="1"/>
  <c r="X30" i="17" a="1"/>
  <c r="X30" i="17" s="1"/>
  <c r="Y30" i="17" s="1"/>
  <c r="X7" i="17" a="1"/>
  <c r="X7" i="17" s="1"/>
  <c r="Y7" i="17" s="1"/>
  <c r="O7" i="17" a="1"/>
  <c r="O7" i="17" s="1"/>
  <c r="N54" i="17" a="1"/>
  <c r="N54" i="17" s="1"/>
  <c r="N29" i="17" a="1"/>
  <c r="N29" i="17" s="1"/>
  <c r="N2" i="17" a="1"/>
  <c r="N2" i="17" s="1"/>
  <c r="S46" i="17" a="1"/>
  <c r="S46" i="17" s="1"/>
  <c r="O2" i="17" a="1"/>
  <c r="O2" i="17" s="1"/>
  <c r="R24" i="17" a="1"/>
  <c r="R24" i="17" s="1"/>
  <c r="Q47" i="17" l="1"/>
  <c r="W47" i="17" s="1"/>
  <c r="Q50" i="17"/>
  <c r="W50" i="17" s="1"/>
  <c r="Q29" i="17"/>
  <c r="W29" i="17" s="1"/>
  <c r="Q28" i="17"/>
  <c r="W28" i="17" s="1"/>
  <c r="Q22" i="17"/>
  <c r="W22" i="17" s="1"/>
  <c r="Q36" i="17"/>
  <c r="W36" i="17" s="1"/>
  <c r="Q32" i="17"/>
  <c r="W32" i="17" s="1"/>
  <c r="Q49" i="17"/>
  <c r="W49" i="17" s="1"/>
  <c r="Q55" i="17"/>
  <c r="W55" i="17" s="1"/>
  <c r="Q42" i="17"/>
  <c r="W42" i="17" s="1"/>
  <c r="Q35" i="17"/>
  <c r="W35" i="17" s="1"/>
  <c r="Q8" i="17"/>
  <c r="W8" i="17" s="1"/>
  <c r="Q46" i="17"/>
  <c r="W46" i="17" s="1"/>
  <c r="Q2" i="17"/>
  <c r="W2" i="17" s="1"/>
  <c r="Q54" i="17"/>
  <c r="W54" i="17" s="1"/>
  <c r="Q51" i="17"/>
  <c r="W51" i="17" s="1"/>
  <c r="Q7" i="17"/>
  <c r="W7" i="17" s="1"/>
  <c r="Q27" i="17"/>
  <c r="W27" i="17" s="1"/>
  <c r="Q5" i="17"/>
  <c r="W5" i="17" s="1"/>
  <c r="Q39" i="17"/>
  <c r="W39" i="17" s="1"/>
  <c r="Q56" i="17"/>
  <c r="W56" i="17" s="1"/>
  <c r="Q40" i="17"/>
  <c r="W40" i="17" s="1"/>
  <c r="Q18" i="17"/>
  <c r="W18" i="17" s="1"/>
  <c r="Q17" i="17"/>
  <c r="W17" i="17" s="1"/>
  <c r="Q20" i="17"/>
  <c r="W20" i="17" s="1"/>
  <c r="Q33" i="17"/>
  <c r="W33" i="17" s="1"/>
  <c r="Q11" i="17"/>
  <c r="W11" i="17" s="1"/>
  <c r="Q12" i="17"/>
  <c r="W12" i="17" s="1"/>
  <c r="Q30" i="17"/>
  <c r="W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3\proces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<sst xmlns="http://schemas.openxmlformats.org/spreadsheetml/2006/main" count="1052" uniqueCount="110">
  <si>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</si>
  <si>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</si>
  <si>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</si>
  <si>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</si>
  <si>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</si>
  <si>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</si>
  <si>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</si>
  <si>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</si>
  <si>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</si>
  <si>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</si>
  <si>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</si>
  <si>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</si>
  <si>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</si>
  <si>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</si>
  <si>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</si>
  <si>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</si>
  <si>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</si>
  <si>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</si>
  <si>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</si>
  <si>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</si>
  <si>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</si>
  <si>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</si>
  <si>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</si>
  <si>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</si>
  <si>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</si>
  <si>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</si>
  <si>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</si>
  <si>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</si>
  <si>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</si>
  <si>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</si>
  <si>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</si>
  <si>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</si>
  <si>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</si>
  <si>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</si>
  <si>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</si>
  <si>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</si>
  <si>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</si>
  <si>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</si>
  <si>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</si>
  <si>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</si>
  <si>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</si>
  <si>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</si>
  <si>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</si>
  <si>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</si>
  <si>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</si>
  <si>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</si>
  <si>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</si>
  <si>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</si>
  <si>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</si>
  <si>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</si>
  <si>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</si>
  <si>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</si>
  <si>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</si>
  <si>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</si>
  <si>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</si>
  <si>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</si>
  <si>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</si>
  <si>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</si>
  <si>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</si>
  <si>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</si>
  <si>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</si>
  <si>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</si>
  <si>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</si>
  <si>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</si>
  <si>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</si>
  <si>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</si>
  <si>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</si>
  <si>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</si>
  <si>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E:\programming\Data-Science\model\production\Arena\Ex3\process.p</t>
  </si>
  <si>
    <t>M1.Queue</t>
  </si>
  <si>
    <t>Waiting Time</t>
  </si>
  <si>
    <t>Queue</t>
  </si>
  <si>
    <t>M2.Queue</t>
  </si>
  <si>
    <t>M3.Queue</t>
  </si>
  <si>
    <t>M4.Queue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</si>
  <si>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</si>
  <si>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</si>
  <si>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</si>
  <si>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</si>
  <si>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</si>
  <si>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</si>
  <si>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</si>
  <si>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</si>
  <si>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8.Queue</t>
  </si>
  <si>
    <t>InspectionResource</t>
  </si>
  <si>
    <t>Instantaneous Utilization</t>
  </si>
  <si>
    <t>Resource</t>
  </si>
  <si>
    <t>Number Busy</t>
  </si>
  <si>
    <t>Number Scheduled</t>
  </si>
  <si>
    <t>Number Waiting</t>
  </si>
  <si>
    <t>Machine</t>
  </si>
  <si>
    <t>WIP</t>
  </si>
  <si>
    <t>FailCount</t>
  </si>
  <si>
    <t>Count</t>
  </si>
  <si>
    <t>User Specified</t>
  </si>
  <si>
    <t>SuccessCount</t>
  </si>
  <si>
    <t>InspectionResource.NumberSeized</t>
  </si>
  <si>
    <t>Total Number Seized</t>
  </si>
  <si>
    <t>InspectionResource.ScheduledUtilization</t>
  </si>
  <si>
    <t>Scheduled Utilization</t>
  </si>
  <si>
    <t>Machine.NumberSeized</t>
  </si>
  <si>
    <t>Machine.ScheduledUtilization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</si>
  <si>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</si>
  <si>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</si>
  <si>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</si>
  <si>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</si>
  <si>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</si>
  <si>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</si>
  <si>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</si>
  <si>
    <t>2025-04-28 21:47:00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</si>
</sst>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68">
    <dxf>
      <numFmt numFmtId="176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4" formatCode="0.00%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90777164352" createdVersion="7" refreshedVersion="8" minRefreshableVersion="3" recordCount="5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5">
        <s v="M1.Queue"/>
        <s v="M2.Queue"/>
        <s v="M3.Queue"/>
        <s v="M4.Queue"/>
        <s v="Part"/>
        <s v="Process 8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94.42713824340009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82.505776490128099"/>
    </cacheField>
    <cacheField name="Maximum" numFmtId="0">
      <sharedItems containsSemiMixedTypes="0" containsString="0" containsNumber="1" minValue="0" maxValue="335.59840125437103"/>
    </cacheField>
    <cacheField name="NumberObservations" numFmtId="0">
      <sharedItems containsSemiMixedTypes="0" containsString="0" containsNumber="1" containsInteger="1" minValue="27" maxValue="281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91.693433633466768"/>
    </cacheField>
    <cacheField name="StDevOfAverage" numFmtId="0">
      <sharedItems containsSemiMixedTypes="0" containsString="0" containsNumber="1" minValue="0" maxValue="5.09380384635213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3247928499273032"/>
    </cacheField>
    <cacheField name="MinimumAverage" numFmtId="0">
      <sharedItems containsSemiMixedTypes="0" containsString="0" containsNumber="1" minValue="0" maxValue="90.333841384583394"/>
    </cacheField>
    <cacheField name="MaximumAverage" numFmtId="0">
      <sharedItems containsSemiMixedTypes="0" containsString="0" containsNumber="1" minValue="0" maxValue="94.427138243400094"/>
    </cacheField>
    <cacheField name="OverallMinimum" numFmtId="0">
      <sharedItems containsSemiMixedTypes="0" containsString="0" containsNumber="1" minValue="0" maxValue="63.102161136153001"/>
    </cacheField>
    <cacheField name="OverallMaximum" numFmtId="0">
      <sharedItems containsSemiMixedTypes="0" containsString="0" containsNumber="1" minValue="0" maxValue="335.59840125437103"/>
    </cacheField>
    <cacheField name="AverageNumberObservations" numFmtId="0">
      <sharedItems containsSemiMixedTypes="0" containsString="0" containsNumber="1" minValue="32" maxValue="256"/>
    </cacheField>
    <cacheField name="SummaryHalfWidth" numFmtId="0">
      <sharedItems containsSemiMixedTypes="0" containsString="0" containsNumber="1" minValue="0" maxValue="6.324792849927303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907771874998" createdVersion="7" refreshedVersion="8" minRefreshableVersion="3" recordCount="3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InspectionResource.NumberSeized"/>
        <s v="InspectionResource.ScheduledUtilization"/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39701492537313399" maxValue="28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40587440603092595" maxValue="256.60000000000002"/>
    </cacheField>
    <cacheField name="StandardDeviation" numFmtId="0">
      <sharedItems containsSemiMixedTypes="0" containsString="0" containsNumber="1" minValue="0" maxValue="20.00749859427709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4.842590698626289"/>
    </cacheField>
    <cacheField name="Minimum" numFmtId="0">
      <sharedItems containsSemiMixedTypes="0" containsString="0" containsNumber="1" minValue="0.39701492537313399" maxValue="233"/>
    </cacheField>
    <cacheField name="Maximum" numFmtId="0">
      <sharedItems containsSemiMixedTypes="0" containsString="0" containsNumber="1" minValue="0.410403651375776" maxValue="2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907771990744" createdVersion="7" refreshedVersion="8" minRefreshableVersion="3" recordCount="1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6">
        <s v="FailCount"/>
        <s v="SuccessCount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1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" maxValue="107.2"/>
    </cacheField>
    <cacheField name="StandardDeviation" numFmtId="0">
      <sharedItems containsSemiMixedTypes="0" containsString="0" containsNumber="1" minValue="0" maxValue="4.6583258795408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.7840755365267524"/>
    </cacheField>
    <cacheField name="Minimum" numFmtId="0">
      <sharedItems containsSemiMixedTypes="0" containsString="0" containsNumber="1" containsInteger="1" minValue="0" maxValue="102"/>
    </cacheField>
    <cacheField name="Maximum" numFmtId="0">
      <sharedItems containsSemiMixedTypes="0" containsString="0" containsNumber="1" containsInteger="1" minValue="0" maxValue="1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907772222221" createdVersion="7" refreshedVersion="8" minRefreshableVersion="3" recordCount="6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31">
        <s v="InspectionResource"/>
        <s v="M1.Queue"/>
        <s v="M2.Queue"/>
        <s v="M3.Queue"/>
        <s v="M4.Queue"/>
        <s v="Machine"/>
        <s v="Part"/>
        <s v="Process 8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0.892657400807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8"/>
    </cacheField>
    <cacheField name="Maximum" numFmtId="0">
      <sharedItems containsSemiMixedTypes="0" containsString="0" containsNumber="1" containsInteger="1" minValue="0" maxValue="13"/>
    </cacheField>
    <cacheField name="LastRecordedValue" numFmtId="0">
      <sharedItems containsSemiMixedTypes="0" containsString="0" containsNumber="1" containsInteger="1" minValue="0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1.2343655593416658E-4" maxValue="10.698475994327259"/>
    </cacheField>
    <cacheField name="StDevOfAverage" numFmtId="0">
      <sharedItems containsSemiMixedTypes="0" containsString="0" containsNumber="1" minValue="0" maxValue="0.3006223106229812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7327190015738471"/>
    </cacheField>
    <cacheField name="MinimumAverage" numFmtId="0">
      <sharedItems containsSemiMixedTypes="0" containsString="0" containsNumber="1" minValue="0" maxValue="10.575819847901499"/>
    </cacheField>
    <cacheField name="MaximumAverage" numFmtId="0">
      <sharedItems containsSemiMixedTypes="0" containsString="0" containsNumber="1" minValue="6.1718277967083297E-4" maxValue="10.8926574008073"/>
    </cacheField>
    <cacheField name="SummaryHalfWidth" numFmtId="0">
      <sharedItems containsSemiMixedTypes="0" containsString="0" containsNumber="1" minValue="0" maxValue="0.373271900157384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90777245370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s v="2025-04-28 21:47:00"/>
    <n v="1"/>
    <x v="0"/>
    <x v="0"/>
    <x v="0"/>
    <n v="92.602892984342205"/>
    <n v="2E+20"/>
    <n v="57.912634120058101"/>
    <n v="110.686610279763"/>
    <n v="29"/>
    <s v="Unnamed ProjectM1.QueueWaiting TimeQueue"/>
    <n v="5"/>
    <n v="91.693433633466768"/>
    <n v="1.1621602426681144"/>
    <n v="0.95"/>
    <n v="1.4430125334647474"/>
    <n v="90.333841384583394"/>
    <n v="93.099035860971398"/>
    <n v="51.393308356792801"/>
    <n v="111.77390802037399"/>
    <n v="34.6"/>
    <n v="1.4430125334647474"/>
    <n v="5"/>
    <n v="1"/>
  </r>
  <r>
    <x v="0"/>
    <s v="2025-04-28 21:47:00"/>
    <n v="2"/>
    <x v="0"/>
    <x v="0"/>
    <x v="0"/>
    <n v="90.333841384583394"/>
    <n v="2E+20"/>
    <n v="51.393308356792801"/>
    <n v="105.617619013782"/>
    <n v="36"/>
    <s v="Unnamed ProjectM1.QueueWaiting TimeQueue"/>
    <n v="5"/>
    <n v="91.693433633466768"/>
    <n v="1.1621602426681144"/>
    <n v="0.95"/>
    <n v="1.4430125334647474"/>
    <n v="90.333841384583394"/>
    <n v="93.099035860971398"/>
    <n v="51.393308356792801"/>
    <n v="111.77390802037399"/>
    <n v="34.6"/>
    <n v="1.4430125334647474"/>
    <n v="5"/>
    <n v="1"/>
  </r>
  <r>
    <x v="0"/>
    <s v="2025-04-28 21:47:00"/>
    <n v="3"/>
    <x v="0"/>
    <x v="0"/>
    <x v="0"/>
    <n v="93.099035860971398"/>
    <n v="2E+20"/>
    <n v="82.505776490128099"/>
    <n v="106.600164920213"/>
    <n v="39"/>
    <s v="Unnamed ProjectM1.QueueWaiting TimeQueue"/>
    <n v="5"/>
    <n v="91.693433633466768"/>
    <n v="1.1621602426681144"/>
    <n v="0.95"/>
    <n v="1.4430125334647474"/>
    <n v="90.333841384583394"/>
    <n v="93.099035860971398"/>
    <n v="51.393308356792801"/>
    <n v="111.77390802037399"/>
    <n v="34.6"/>
    <n v="1.4430125334647474"/>
    <n v="5"/>
    <n v="1"/>
  </r>
  <r>
    <x v="0"/>
    <s v="2025-04-28 21:47:00"/>
    <n v="4"/>
    <x v="0"/>
    <x v="0"/>
    <x v="0"/>
    <n v="91.599547820914594"/>
    <n v="2E+20"/>
    <n v="67.115988096593895"/>
    <n v="105.063374930642"/>
    <n v="36"/>
    <s v="Unnamed ProjectM1.QueueWaiting TimeQueue"/>
    <n v="5"/>
    <n v="91.693433633466768"/>
    <n v="1.1621602426681144"/>
    <n v="0.95"/>
    <n v="1.4430125334647474"/>
    <n v="90.333841384583394"/>
    <n v="93.099035860971398"/>
    <n v="51.393308356792801"/>
    <n v="111.77390802037399"/>
    <n v="34.6"/>
    <n v="1.4430125334647474"/>
    <n v="5"/>
    <n v="1"/>
  </r>
  <r>
    <x v="0"/>
    <s v="2025-04-28 21:47:00"/>
    <n v="5"/>
    <x v="0"/>
    <x v="0"/>
    <x v="0"/>
    <n v="90.831850116522205"/>
    <n v="2E+20"/>
    <n v="64.036560733564997"/>
    <n v="111.77390802037399"/>
    <n v="33"/>
    <s v="Unnamed ProjectM1.QueueWaiting TimeQueue"/>
    <n v="5"/>
    <n v="91.693433633466768"/>
    <n v="1.1621602426681144"/>
    <n v="0.95"/>
    <n v="1.4430125334647474"/>
    <n v="90.333841384583394"/>
    <n v="93.099035860971398"/>
    <n v="51.393308356792801"/>
    <n v="111.77390802037399"/>
    <n v="34.6"/>
    <n v="1.4430125334647474"/>
    <n v="5"/>
    <n v="1"/>
  </r>
  <r>
    <x v="0"/>
    <s v="2025-04-28 21:47:00"/>
    <n v="1"/>
    <x v="1"/>
    <x v="0"/>
    <x v="0"/>
    <n v="94.427138243400094"/>
    <n v="2E+20"/>
    <n v="78.2913738404594"/>
    <n v="106.822242739091"/>
    <n v="35"/>
    <s v="Unnamed ProjectM2.QueueWaiting TimeQueue"/>
    <n v="5"/>
    <n v="91.191083332163188"/>
    <n v="2.7525071056604564"/>
    <n v="0.95"/>
    <n v="3.4176889778986324"/>
    <n v="87.049876470286605"/>
    <n v="94.427138243400094"/>
    <n v="63.102161136153001"/>
    <n v="106.822242739091"/>
    <n v="35.6"/>
    <n v="3.4176889778986324"/>
    <n v="5"/>
    <n v="1"/>
  </r>
  <r>
    <x v="0"/>
    <s v="2025-04-28 21:47:00"/>
    <n v="2"/>
    <x v="1"/>
    <x v="0"/>
    <x v="0"/>
    <n v="87.049876470286605"/>
    <n v="2E+20"/>
    <n v="64.853764806382301"/>
    <n v="106.33063842971499"/>
    <n v="38"/>
    <s v="Unnamed ProjectM2.QueueWaiting TimeQueue"/>
    <n v="5"/>
    <n v="91.191083332163188"/>
    <n v="2.7525071056604564"/>
    <n v="0.95"/>
    <n v="3.4176889778986324"/>
    <n v="87.049876470286605"/>
    <n v="94.427138243400094"/>
    <n v="63.102161136153001"/>
    <n v="106.822242739091"/>
    <n v="35.6"/>
    <n v="3.4176889778986324"/>
    <n v="5"/>
    <n v="1"/>
  </r>
  <r>
    <x v="0"/>
    <s v="2025-04-28 21:47:00"/>
    <n v="3"/>
    <x v="1"/>
    <x v="0"/>
    <x v="0"/>
    <n v="92.436024345192095"/>
    <n v="2E+20"/>
    <n v="76.502632714912906"/>
    <n v="103.97621922251901"/>
    <n v="29"/>
    <s v="Unnamed ProjectM2.QueueWaiting TimeQueue"/>
    <n v="5"/>
    <n v="91.191083332163188"/>
    <n v="2.7525071056604564"/>
    <n v="0.95"/>
    <n v="3.4176889778986324"/>
    <n v="87.049876470286605"/>
    <n v="94.427138243400094"/>
    <n v="63.102161136153001"/>
    <n v="106.822242739091"/>
    <n v="35.6"/>
    <n v="3.4176889778986324"/>
    <n v="5"/>
    <n v="1"/>
  </r>
  <r>
    <x v="0"/>
    <s v="2025-04-28 21:47:00"/>
    <n v="4"/>
    <x v="1"/>
    <x v="0"/>
    <x v="0"/>
    <n v="90.287728039894802"/>
    <n v="2E+20"/>
    <n v="63.102161136153001"/>
    <n v="105.62317469327201"/>
    <n v="39"/>
    <s v="Unnamed ProjectM2.QueueWaiting TimeQueue"/>
    <n v="5"/>
    <n v="91.191083332163188"/>
    <n v="2.7525071056604564"/>
    <n v="0.95"/>
    <n v="3.4176889778986324"/>
    <n v="87.049876470286605"/>
    <n v="94.427138243400094"/>
    <n v="63.102161136153001"/>
    <n v="106.822242739091"/>
    <n v="35.6"/>
    <n v="3.4176889778986324"/>
    <n v="5"/>
    <n v="1"/>
  </r>
  <r>
    <x v="0"/>
    <s v="2025-04-28 21:47:00"/>
    <n v="5"/>
    <x v="1"/>
    <x v="0"/>
    <x v="0"/>
    <n v="91.754649562042403"/>
    <n v="2E+20"/>
    <n v="68.3456387913009"/>
    <n v="104.77149606740601"/>
    <n v="37"/>
    <s v="Unnamed ProjectM2.QueueWaiting TimeQueue"/>
    <n v="5"/>
    <n v="91.191083332163188"/>
    <n v="2.7525071056604564"/>
    <n v="0.95"/>
    <n v="3.4176889778986324"/>
    <n v="87.049876470286605"/>
    <n v="94.427138243400094"/>
    <n v="63.102161136153001"/>
    <n v="106.822242739091"/>
    <n v="35.6"/>
    <n v="3.4176889778986324"/>
    <n v="5"/>
    <n v="1"/>
  </r>
  <r>
    <x v="0"/>
    <s v="2025-04-28 21:47:00"/>
    <n v="1"/>
    <x v="2"/>
    <x v="0"/>
    <x v="0"/>
    <n v="92.293457137832306"/>
    <n v="2E+20"/>
    <n v="65.856162867097396"/>
    <n v="103.8385243562"/>
    <n v="32"/>
    <s v="Unnamed ProjectM3.QueueWaiting TimeQueue"/>
    <n v="5"/>
    <n v="89.037725761683078"/>
    <n v="4.8162097110003694"/>
    <n v="0.95"/>
    <n v="5.9801142059485128"/>
    <n v="81.449666237786701"/>
    <n v="92.591564056300598"/>
    <n v="33.586070215684998"/>
    <n v="109.348355223756"/>
    <n v="33.799999999999997"/>
    <n v="5.9801142059485128"/>
    <n v="5"/>
    <n v="1"/>
  </r>
  <r>
    <x v="0"/>
    <s v="2025-04-28 21:47:00"/>
    <n v="2"/>
    <x v="2"/>
    <x v="0"/>
    <x v="0"/>
    <n v="81.449666237786701"/>
    <n v="2E+20"/>
    <n v="33.586070215684998"/>
    <n v="104.494555176844"/>
    <n v="36"/>
    <s v="Unnamed ProjectM3.QueueWaiting TimeQueue"/>
    <n v="5"/>
    <n v="89.037725761683078"/>
    <n v="4.8162097110003694"/>
    <n v="0.95"/>
    <n v="5.9801142059485128"/>
    <n v="81.449666237786701"/>
    <n v="92.591564056300598"/>
    <n v="33.586070215684998"/>
    <n v="109.348355223756"/>
    <n v="33.799999999999997"/>
    <n v="5.9801142059485128"/>
    <n v="5"/>
    <n v="1"/>
  </r>
  <r>
    <x v="0"/>
    <s v="2025-04-28 21:47:00"/>
    <n v="3"/>
    <x v="2"/>
    <x v="0"/>
    <x v="0"/>
    <n v="92.591564056300598"/>
    <n v="2E+20"/>
    <n v="70.477072833416699"/>
    <n v="109.348355223756"/>
    <n v="33"/>
    <s v="Unnamed ProjectM3.QueueWaiting TimeQueue"/>
    <n v="5"/>
    <n v="89.037725761683078"/>
    <n v="4.8162097110003694"/>
    <n v="0.95"/>
    <n v="5.9801142059485128"/>
    <n v="81.449666237786701"/>
    <n v="92.591564056300598"/>
    <n v="33.586070215684998"/>
    <n v="109.348355223756"/>
    <n v="33.799999999999997"/>
    <n v="5.9801142059485128"/>
    <n v="5"/>
    <n v="1"/>
  </r>
  <r>
    <x v="0"/>
    <s v="2025-04-28 21:47:00"/>
    <n v="4"/>
    <x v="2"/>
    <x v="0"/>
    <x v="0"/>
    <n v="87.011160271483206"/>
    <n v="2E+20"/>
    <n v="63.666446351682097"/>
    <n v="101.195978443705"/>
    <n v="33"/>
    <s v="Unnamed ProjectM3.QueueWaiting TimeQueue"/>
    <n v="5"/>
    <n v="89.037725761683078"/>
    <n v="4.8162097110003694"/>
    <n v="0.95"/>
    <n v="5.9801142059485128"/>
    <n v="81.449666237786701"/>
    <n v="92.591564056300598"/>
    <n v="33.586070215684998"/>
    <n v="109.348355223756"/>
    <n v="33.799999999999997"/>
    <n v="5.9801142059485128"/>
    <n v="5"/>
    <n v="1"/>
  </r>
  <r>
    <x v="0"/>
    <s v="2025-04-28 21:47:00"/>
    <n v="5"/>
    <x v="2"/>
    <x v="0"/>
    <x v="0"/>
    <n v="91.842781105012506"/>
    <n v="2E+20"/>
    <n v="58.248739461726899"/>
    <n v="106.407038597303"/>
    <n v="35"/>
    <s v="Unnamed ProjectM3.QueueWaiting TimeQueue"/>
    <n v="5"/>
    <n v="89.037725761683078"/>
    <n v="4.8162097110003694"/>
    <n v="0.95"/>
    <n v="5.9801142059485128"/>
    <n v="81.449666237786701"/>
    <n v="92.591564056300598"/>
    <n v="33.586070215684998"/>
    <n v="109.348355223756"/>
    <n v="33.799999999999997"/>
    <n v="5.9801142059485128"/>
    <n v="5"/>
    <n v="1"/>
  </r>
  <r>
    <x v="0"/>
    <s v="2025-04-28 21:47:00"/>
    <n v="1"/>
    <x v="3"/>
    <x v="0"/>
    <x v="0"/>
    <n v="91.535300249485502"/>
    <n v="2E+20"/>
    <n v="63.322099932374897"/>
    <n v="105.79277196110399"/>
    <n v="37"/>
    <s v="Unnamed ProjectM4.QueueWaiting TimeQueue"/>
    <n v="5"/>
    <n v="90.799126839777585"/>
    <n v="0.85948648108408798"/>
    <n v="0.95"/>
    <n v="1.0671934205049525"/>
    <n v="89.516859378217006"/>
    <n v="91.649029187166505"/>
    <n v="47.084639463362301"/>
    <n v="109.068187341166"/>
    <n v="32"/>
    <n v="1.0671934205049525"/>
    <n v="5"/>
    <n v="1"/>
  </r>
  <r>
    <x v="0"/>
    <s v="2025-04-28 21:47:00"/>
    <n v="2"/>
    <x v="3"/>
    <x v="0"/>
    <x v="0"/>
    <n v="90.657786124494194"/>
    <n v="2E+20"/>
    <n v="47.084639463362301"/>
    <n v="109.068187341166"/>
    <n v="27"/>
    <s v="Unnamed ProjectM4.QueueWaiting TimeQueue"/>
    <n v="5"/>
    <n v="90.799126839777585"/>
    <n v="0.85948648108408798"/>
    <n v="0.95"/>
    <n v="1.0671934205049525"/>
    <n v="89.516859378217006"/>
    <n v="91.649029187166505"/>
    <n v="47.084639463362301"/>
    <n v="109.068187341166"/>
    <n v="32"/>
    <n v="1.0671934205049525"/>
    <n v="5"/>
    <n v="1"/>
  </r>
  <r>
    <x v="0"/>
    <s v="2025-04-28 21:47:00"/>
    <n v="3"/>
    <x v="3"/>
    <x v="0"/>
    <x v="0"/>
    <n v="90.636659259524706"/>
    <n v="2E+20"/>
    <n v="70.735094559953794"/>
    <n v="108.710754485233"/>
    <n v="36"/>
    <s v="Unnamed ProjectM4.QueueWaiting TimeQueue"/>
    <n v="5"/>
    <n v="90.799126839777585"/>
    <n v="0.85948648108408798"/>
    <n v="0.95"/>
    <n v="1.0671934205049525"/>
    <n v="89.516859378217006"/>
    <n v="91.649029187166505"/>
    <n v="47.084639463362301"/>
    <n v="109.068187341166"/>
    <n v="32"/>
    <n v="1.0671934205049525"/>
    <n v="5"/>
    <n v="1"/>
  </r>
  <r>
    <x v="0"/>
    <s v="2025-04-28 21:47:00"/>
    <n v="4"/>
    <x v="3"/>
    <x v="0"/>
    <x v="0"/>
    <n v="89.516859378217006"/>
    <n v="2E+20"/>
    <n v="57.695433409863902"/>
    <n v="104.265511825085"/>
    <n v="29"/>
    <s v="Unnamed ProjectM4.QueueWaiting TimeQueue"/>
    <n v="5"/>
    <n v="90.799126839777585"/>
    <n v="0.85948648108408798"/>
    <n v="0.95"/>
    <n v="1.0671934205049525"/>
    <n v="89.516859378217006"/>
    <n v="91.649029187166505"/>
    <n v="47.084639463362301"/>
    <n v="109.068187341166"/>
    <n v="32"/>
    <n v="1.0671934205049525"/>
    <n v="5"/>
    <n v="1"/>
  </r>
  <r>
    <x v="0"/>
    <s v="2025-04-28 21:47:00"/>
    <n v="5"/>
    <x v="3"/>
    <x v="0"/>
    <x v="0"/>
    <n v="91.649029187166505"/>
    <n v="2E+20"/>
    <n v="66.546086456022294"/>
    <n v="107.59965587892501"/>
    <n v="31"/>
    <s v="Unnamed ProjectM4.QueueWaiting TimeQueue"/>
    <n v="5"/>
    <n v="90.799126839777585"/>
    <n v="0.85948648108408798"/>
    <n v="0.95"/>
    <n v="1.0671934205049525"/>
    <n v="89.516859378217006"/>
    <n v="91.649029187166505"/>
    <n v="47.084639463362301"/>
    <n v="109.068187341166"/>
    <n v="32"/>
    <n v="1.0671934205049525"/>
    <n v="5"/>
    <n v="1"/>
  </r>
  <r>
    <x v="0"/>
    <s v="2025-04-28 21:47:00"/>
    <n v="1"/>
    <x v="4"/>
    <x v="1"/>
    <x v="1"/>
    <n v="0"/>
    <n v="2E+20"/>
    <n v="0"/>
    <n v="0"/>
    <n v="233"/>
    <s v="Unnamed ProjectPartNVA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1"/>
    <x v="4"/>
    <x v="2"/>
    <x v="1"/>
    <n v="0"/>
    <n v="2E+20"/>
    <n v="0"/>
    <n v="0"/>
    <n v="233"/>
    <s v="Unnamed ProjectPartOth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1"/>
    <x v="4"/>
    <x v="3"/>
    <x v="1"/>
    <n v="60.441273086848902"/>
    <n v="2E+20"/>
    <n v="0"/>
    <n v="335.59840125437103"/>
    <n v="233"/>
    <s v="Unnamed ProjectPartTotal TimeEntity"/>
    <n v="5"/>
    <n v="55.288848927915112"/>
    <n v="5.0938038463521353"/>
    <n v="0.95"/>
    <n v="6.3247928499273032"/>
    <n v="47.607660595137602"/>
    <n v="60.441273086848902"/>
    <n v="0"/>
    <n v="335.59840125437103"/>
    <n v="256"/>
    <n v="6.3247928499273032"/>
    <n v="5"/>
    <n v="1"/>
  </r>
  <r>
    <x v="0"/>
    <s v="2025-04-28 21:47:00"/>
    <n v="1"/>
    <x v="4"/>
    <x v="4"/>
    <x v="1"/>
    <n v="0"/>
    <n v="2E+20"/>
    <n v="0"/>
    <n v="0"/>
    <n v="233"/>
    <s v="Unnamed ProjectPartTransf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1"/>
    <x v="4"/>
    <x v="5"/>
    <x v="1"/>
    <n v="8.0408473428622198"/>
    <n v="2E+20"/>
    <n v="0"/>
    <n v="43.848221005228901"/>
    <n v="233"/>
    <s v="Unnamed ProjectPartVA TimeEntity"/>
    <n v="5"/>
    <n v="7.3855923773434755"/>
    <n v="0.57630712394330419"/>
    <n v="0.95"/>
    <n v="0.71557980770875518"/>
    <n v="6.5519833180988396"/>
    <n v="8.0408473428622198"/>
    <n v="0"/>
    <n v="43.848221005228901"/>
    <n v="256"/>
    <n v="0.71557980770875518"/>
    <n v="5"/>
    <n v="1"/>
  </r>
  <r>
    <x v="0"/>
    <s v="2025-04-28 21:47:00"/>
    <n v="1"/>
    <x v="4"/>
    <x v="6"/>
    <x v="1"/>
    <n v="52.400425743986602"/>
    <n v="2E+20"/>
    <n v="0"/>
    <n v="291.75018024914198"/>
    <n v="233"/>
    <s v="Unnamed ProjectPartWait TimeEntity"/>
    <n v="5"/>
    <n v="47.903256550571641"/>
    <n v="4.5200867681778671"/>
    <n v="0.95"/>
    <n v="5.6124290088036606"/>
    <n v="41.055677277038797"/>
    <n v="52.400425743986602"/>
    <n v="0"/>
    <n v="291.75018024914198"/>
    <n v="256"/>
    <n v="5.6124290088036606"/>
    <n v="5"/>
    <n v="1"/>
  </r>
  <r>
    <x v="0"/>
    <s v="2025-04-28 21:47:00"/>
    <n v="2"/>
    <x v="4"/>
    <x v="1"/>
    <x v="1"/>
    <n v="0"/>
    <n v="2E+20"/>
    <n v="0"/>
    <n v="0"/>
    <n v="281"/>
    <s v="Unnamed ProjectPartNVA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2"/>
    <x v="4"/>
    <x v="2"/>
    <x v="1"/>
    <n v="0"/>
    <n v="2E+20"/>
    <n v="0"/>
    <n v="0"/>
    <n v="281"/>
    <s v="Unnamed ProjectPartOth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2"/>
    <x v="4"/>
    <x v="3"/>
    <x v="1"/>
    <n v="47.607660595137602"/>
    <n v="2E+20"/>
    <n v="0"/>
    <n v="275.34612613290199"/>
    <n v="281"/>
    <s v="Unnamed ProjectPartTotal TimeEntity"/>
    <n v="5"/>
    <n v="55.288848927915112"/>
    <n v="5.0938038463521353"/>
    <n v="0.95"/>
    <n v="6.3247928499273032"/>
    <n v="47.607660595137602"/>
    <n v="60.441273086848902"/>
    <n v="0"/>
    <n v="335.59840125437103"/>
    <n v="256"/>
    <n v="6.3247928499273032"/>
    <n v="5"/>
    <n v="1"/>
  </r>
  <r>
    <x v="0"/>
    <s v="2025-04-28 21:47:00"/>
    <n v="2"/>
    <x v="4"/>
    <x v="4"/>
    <x v="1"/>
    <n v="0"/>
    <n v="2E+20"/>
    <n v="0"/>
    <n v="0"/>
    <n v="281"/>
    <s v="Unnamed ProjectPartTransf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2"/>
    <x v="4"/>
    <x v="5"/>
    <x v="1"/>
    <n v="6.5519833180988396"/>
    <n v="2E+20"/>
    <n v="0"/>
    <n v="42.231973773371102"/>
    <n v="281"/>
    <s v="Unnamed ProjectPartVA TimeEntity"/>
    <n v="5"/>
    <n v="7.3855923773434755"/>
    <n v="0.57630712394330419"/>
    <n v="0.95"/>
    <n v="0.71557980770875518"/>
    <n v="6.5519833180988396"/>
    <n v="8.0408473428622198"/>
    <n v="0"/>
    <n v="43.848221005228901"/>
    <n v="256"/>
    <n v="0.71557980770875518"/>
    <n v="5"/>
    <n v="1"/>
  </r>
  <r>
    <x v="0"/>
    <s v="2025-04-28 21:47:00"/>
    <n v="2"/>
    <x v="4"/>
    <x v="6"/>
    <x v="1"/>
    <n v="41.055677277038797"/>
    <n v="2E+20"/>
    <n v="0"/>
    <n v="233.114152359531"/>
    <n v="281"/>
    <s v="Unnamed ProjectPartWait TimeEntity"/>
    <n v="5"/>
    <n v="47.903256550571641"/>
    <n v="4.5200867681778671"/>
    <n v="0.95"/>
    <n v="5.6124290088036606"/>
    <n v="41.055677277038797"/>
    <n v="52.400425743986602"/>
    <n v="0"/>
    <n v="291.75018024914198"/>
    <n v="256"/>
    <n v="5.6124290088036606"/>
    <n v="5"/>
    <n v="1"/>
  </r>
  <r>
    <x v="0"/>
    <s v="2025-04-28 21:47:00"/>
    <n v="3"/>
    <x v="4"/>
    <x v="1"/>
    <x v="1"/>
    <n v="0"/>
    <n v="2E+20"/>
    <n v="0"/>
    <n v="0"/>
    <n v="245"/>
    <s v="Unnamed ProjectPartNVA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3"/>
    <x v="4"/>
    <x v="2"/>
    <x v="1"/>
    <n v="0"/>
    <n v="2E+20"/>
    <n v="0"/>
    <n v="0"/>
    <n v="245"/>
    <s v="Unnamed ProjectPartOth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3"/>
    <x v="4"/>
    <x v="3"/>
    <x v="1"/>
    <n v="59.090700654689797"/>
    <n v="2E+20"/>
    <n v="0"/>
    <n v="226.48715991354999"/>
    <n v="245"/>
    <s v="Unnamed ProjectPartTotal TimeEntity"/>
    <n v="5"/>
    <n v="55.288848927915112"/>
    <n v="5.0938038463521353"/>
    <n v="0.95"/>
    <n v="6.3247928499273032"/>
    <n v="47.607660595137602"/>
    <n v="60.441273086848902"/>
    <n v="0"/>
    <n v="335.59840125437103"/>
    <n v="256"/>
    <n v="6.3247928499273032"/>
    <n v="5"/>
    <n v="1"/>
  </r>
  <r>
    <x v="0"/>
    <s v="2025-04-28 21:47:00"/>
    <n v="3"/>
    <x v="4"/>
    <x v="4"/>
    <x v="1"/>
    <n v="0"/>
    <n v="2E+20"/>
    <n v="0"/>
    <n v="0"/>
    <n v="245"/>
    <s v="Unnamed ProjectPartTransf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3"/>
    <x v="4"/>
    <x v="5"/>
    <x v="1"/>
    <n v="7.7716875909990204"/>
    <n v="2E+20"/>
    <n v="0"/>
    <n v="32.965644161420002"/>
    <n v="245"/>
    <s v="Unnamed ProjectPartVA TimeEntity"/>
    <n v="5"/>
    <n v="7.3855923773434755"/>
    <n v="0.57630712394330419"/>
    <n v="0.95"/>
    <n v="0.71557980770875518"/>
    <n v="6.5519833180988396"/>
    <n v="8.0408473428622198"/>
    <n v="0"/>
    <n v="43.848221005228901"/>
    <n v="256"/>
    <n v="0.71557980770875518"/>
    <n v="5"/>
    <n v="1"/>
  </r>
  <r>
    <x v="0"/>
    <s v="2025-04-28 21:47:00"/>
    <n v="3"/>
    <x v="4"/>
    <x v="6"/>
    <x v="1"/>
    <n v="51.319013063690797"/>
    <n v="2E+20"/>
    <n v="0"/>
    <n v="197.02608687833501"/>
    <n v="245"/>
    <s v="Unnamed ProjectPartWait TimeEntity"/>
    <n v="5"/>
    <n v="47.903256550571641"/>
    <n v="4.5200867681778671"/>
    <n v="0.95"/>
    <n v="5.6124290088036606"/>
    <n v="41.055677277038797"/>
    <n v="52.400425743986602"/>
    <n v="0"/>
    <n v="291.75018024914198"/>
    <n v="256"/>
    <n v="5.6124290088036606"/>
    <n v="5"/>
    <n v="1"/>
  </r>
  <r>
    <x v="0"/>
    <s v="2025-04-28 21:47:00"/>
    <n v="4"/>
    <x v="4"/>
    <x v="1"/>
    <x v="1"/>
    <n v="0"/>
    <n v="2E+20"/>
    <n v="0"/>
    <n v="0"/>
    <n v="267"/>
    <s v="Unnamed ProjectPartNVA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4"/>
    <x v="4"/>
    <x v="2"/>
    <x v="1"/>
    <n v="0"/>
    <n v="2E+20"/>
    <n v="0"/>
    <n v="0"/>
    <n v="267"/>
    <s v="Unnamed ProjectPartOth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4"/>
    <x v="4"/>
    <x v="3"/>
    <x v="1"/>
    <n v="53.432721396188903"/>
    <n v="2E+20"/>
    <n v="0"/>
    <n v="321.26441570447099"/>
    <n v="267"/>
    <s v="Unnamed ProjectPartTotal TimeEntity"/>
    <n v="5"/>
    <n v="55.288848927915112"/>
    <n v="5.0938038463521353"/>
    <n v="0.95"/>
    <n v="6.3247928499273032"/>
    <n v="47.607660595137602"/>
    <n v="60.441273086848902"/>
    <n v="0"/>
    <n v="335.59840125437103"/>
    <n v="256"/>
    <n v="6.3247928499273032"/>
    <n v="5"/>
    <n v="1"/>
  </r>
  <r>
    <x v="0"/>
    <s v="2025-04-28 21:47:00"/>
    <n v="4"/>
    <x v="4"/>
    <x v="4"/>
    <x v="1"/>
    <n v="0"/>
    <n v="2E+20"/>
    <n v="0"/>
    <n v="0"/>
    <n v="267"/>
    <s v="Unnamed ProjectPartTransf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4"/>
    <x v="4"/>
    <x v="5"/>
    <x v="1"/>
    <n v="7.15209008808952"/>
    <n v="2E+20"/>
    <n v="0"/>
    <n v="35.680046420751303"/>
    <n v="267"/>
    <s v="Unnamed ProjectPartVA TimeEntity"/>
    <n v="5"/>
    <n v="7.3855923773434755"/>
    <n v="0.57630712394330419"/>
    <n v="0.95"/>
    <n v="0.71557980770875518"/>
    <n v="6.5519833180988396"/>
    <n v="8.0408473428622198"/>
    <n v="0"/>
    <n v="43.848221005228901"/>
    <n v="256"/>
    <n v="0.71557980770875518"/>
    <n v="5"/>
    <n v="1"/>
  </r>
  <r>
    <x v="0"/>
    <s v="2025-04-28 21:47:00"/>
    <n v="4"/>
    <x v="4"/>
    <x v="6"/>
    <x v="1"/>
    <n v="46.280631308099402"/>
    <n v="2E+20"/>
    <n v="0"/>
    <n v="285.58436928371998"/>
    <n v="267"/>
    <s v="Unnamed ProjectPartWait TimeEntity"/>
    <n v="5"/>
    <n v="47.903256550571641"/>
    <n v="4.5200867681778671"/>
    <n v="0.95"/>
    <n v="5.6124290088036606"/>
    <n v="41.055677277038797"/>
    <n v="52.400425743986602"/>
    <n v="0"/>
    <n v="291.75018024914198"/>
    <n v="256"/>
    <n v="5.6124290088036606"/>
    <n v="5"/>
    <n v="1"/>
  </r>
  <r>
    <x v="0"/>
    <s v="2025-04-28 21:47:00"/>
    <n v="5"/>
    <x v="4"/>
    <x v="1"/>
    <x v="1"/>
    <n v="0"/>
    <n v="2E+20"/>
    <n v="0"/>
    <n v="0"/>
    <n v="254"/>
    <s v="Unnamed ProjectPartNVA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5"/>
    <x v="4"/>
    <x v="2"/>
    <x v="1"/>
    <n v="0"/>
    <n v="2E+20"/>
    <n v="0"/>
    <n v="0"/>
    <n v="254"/>
    <s v="Unnamed ProjectPartOth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5"/>
    <x v="4"/>
    <x v="3"/>
    <x v="1"/>
    <n v="55.871888906710403"/>
    <n v="2E+20"/>
    <n v="0"/>
    <n v="230.36639906194"/>
    <n v="254"/>
    <s v="Unnamed ProjectPartTotal TimeEntity"/>
    <n v="5"/>
    <n v="55.288848927915112"/>
    <n v="5.0938038463521353"/>
    <n v="0.95"/>
    <n v="6.3247928499273032"/>
    <n v="47.607660595137602"/>
    <n v="60.441273086848902"/>
    <n v="0"/>
    <n v="335.59840125437103"/>
    <n v="256"/>
    <n v="6.3247928499273032"/>
    <n v="5"/>
    <n v="1"/>
  </r>
  <r>
    <x v="0"/>
    <s v="2025-04-28 21:47:00"/>
    <n v="5"/>
    <x v="4"/>
    <x v="4"/>
    <x v="1"/>
    <n v="0"/>
    <n v="2E+20"/>
    <n v="0"/>
    <n v="0"/>
    <n v="254"/>
    <s v="Unnamed ProjectPartTransfer TimeEntity"/>
    <n v="5"/>
    <n v="0"/>
    <n v="0"/>
    <n v="0.95"/>
    <n v="0"/>
    <n v="0"/>
    <n v="0"/>
    <n v="0"/>
    <n v="0"/>
    <n v="256"/>
    <n v="0"/>
    <n v="5"/>
    <n v="1"/>
  </r>
  <r>
    <x v="0"/>
    <s v="2025-04-28 21:47:00"/>
    <n v="5"/>
    <x v="4"/>
    <x v="5"/>
    <x v="1"/>
    <n v="7.4113535466677796"/>
    <n v="2E+20"/>
    <n v="0"/>
    <n v="30.3825385224028"/>
    <n v="254"/>
    <s v="Unnamed ProjectPartVA TimeEntity"/>
    <n v="5"/>
    <n v="7.3855923773434755"/>
    <n v="0.57630712394330419"/>
    <n v="0.95"/>
    <n v="0.71557980770875518"/>
    <n v="6.5519833180988396"/>
    <n v="8.0408473428622198"/>
    <n v="0"/>
    <n v="43.848221005228901"/>
    <n v="256"/>
    <n v="0.71557980770875518"/>
    <n v="5"/>
    <n v="1"/>
  </r>
  <r>
    <x v="0"/>
    <s v="2025-04-28 21:47:00"/>
    <n v="5"/>
    <x v="4"/>
    <x v="6"/>
    <x v="1"/>
    <n v="48.460535360042599"/>
    <n v="2E+20"/>
    <n v="0"/>
    <n v="200.13593057917601"/>
    <n v="254"/>
    <s v="Unnamed ProjectPartWait TimeEntity"/>
    <n v="5"/>
    <n v="47.903256550571641"/>
    <n v="4.5200867681778671"/>
    <n v="0.95"/>
    <n v="5.6124290088036606"/>
    <n v="41.055677277038797"/>
    <n v="52.400425743986602"/>
    <n v="0"/>
    <n v="291.75018024914198"/>
    <n v="256"/>
    <n v="5.6124290088036606"/>
    <n v="5"/>
    <n v="1"/>
  </r>
  <r>
    <x v="0"/>
    <s v="2025-04-28 21:47:00"/>
    <n v="1"/>
    <x v="5"/>
    <x v="0"/>
    <x v="0"/>
    <n v="0"/>
    <n v="2E+20"/>
    <n v="0"/>
    <n v="0"/>
    <n v="133"/>
    <s v="Unnamed ProjectProcess 8.QueueWaiting TimeQueue"/>
    <n v="5"/>
    <n v="1.20733565658236E-3"/>
    <n v="2.6996845997774984E-3"/>
    <n v="0.95"/>
    <n v="3.352101174048857E-3"/>
    <n v="0"/>
    <n v="6.0366782829118001E-3"/>
    <n v="0"/>
    <n v="0.82702492475891598"/>
    <n v="136"/>
    <n v="3.352101174048857E-3"/>
    <n v="5"/>
    <n v="1"/>
  </r>
  <r>
    <x v="0"/>
    <s v="2025-04-28 21:47:00"/>
    <n v="2"/>
    <x v="5"/>
    <x v="0"/>
    <x v="0"/>
    <n v="0"/>
    <n v="2E+20"/>
    <n v="0"/>
    <n v="0"/>
    <n v="137"/>
    <s v="Unnamed ProjectProcess 8.QueueWaiting TimeQueue"/>
    <n v="5"/>
    <n v="1.20733565658236E-3"/>
    <n v="2.6996845997774984E-3"/>
    <n v="0.95"/>
    <n v="3.352101174048857E-3"/>
    <n v="0"/>
    <n v="6.0366782829118001E-3"/>
    <n v="0"/>
    <n v="0.82702492475891598"/>
    <n v="136"/>
    <n v="3.352101174048857E-3"/>
    <n v="5"/>
    <n v="1"/>
  </r>
  <r>
    <x v="0"/>
    <s v="2025-04-28 21:47:00"/>
    <n v="3"/>
    <x v="5"/>
    <x v="0"/>
    <x v="0"/>
    <n v="0"/>
    <n v="2E+20"/>
    <n v="0"/>
    <n v="0"/>
    <n v="137"/>
    <s v="Unnamed ProjectProcess 8.QueueWaiting TimeQueue"/>
    <n v="5"/>
    <n v="1.20733565658236E-3"/>
    <n v="2.6996845997774984E-3"/>
    <n v="0.95"/>
    <n v="3.352101174048857E-3"/>
    <n v="0"/>
    <n v="6.0366782829118001E-3"/>
    <n v="0"/>
    <n v="0.82702492475891598"/>
    <n v="136"/>
    <n v="3.352101174048857E-3"/>
    <n v="5"/>
    <n v="1"/>
  </r>
  <r>
    <x v="0"/>
    <s v="2025-04-28 21:47:00"/>
    <n v="4"/>
    <x v="5"/>
    <x v="0"/>
    <x v="0"/>
    <n v="6.0366782829118001E-3"/>
    <n v="2E+20"/>
    <n v="0"/>
    <n v="0.82702492475891598"/>
    <n v="137"/>
    <s v="Unnamed ProjectProcess 8.QueueWaiting TimeQueue"/>
    <n v="5"/>
    <n v="1.20733565658236E-3"/>
    <n v="2.6996845997774984E-3"/>
    <n v="0.95"/>
    <n v="3.352101174048857E-3"/>
    <n v="0"/>
    <n v="6.0366782829118001E-3"/>
    <n v="0"/>
    <n v="0.82702492475891598"/>
    <n v="136"/>
    <n v="3.352101174048857E-3"/>
    <n v="5"/>
    <n v="1"/>
  </r>
  <r>
    <x v="0"/>
    <s v="2025-04-28 21:47:00"/>
    <n v="5"/>
    <x v="5"/>
    <x v="0"/>
    <x v="0"/>
    <n v="0"/>
    <n v="2E+20"/>
    <n v="0"/>
    <n v="0"/>
    <n v="136"/>
    <s v="Unnamed ProjectProcess 8.QueueWaiting TimeQueue"/>
    <n v="5"/>
    <n v="1.20733565658236E-3"/>
    <n v="2.6996845997774984E-3"/>
    <n v="0.95"/>
    <n v="3.352101174048857E-3"/>
    <n v="0"/>
    <n v="6.0366782829118001E-3"/>
    <n v="0"/>
    <n v="0.82702492475891598"/>
    <n v="136"/>
    <n v="3.352101174048857E-3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8 21:47:00"/>
    <n v="1"/>
    <x v="0"/>
    <x v="0"/>
    <x v="0"/>
    <n v="133"/>
    <n v="0"/>
    <s v="Unnamed ProjectInspectionResource.NumberSeizedTotal Number SeizedResource"/>
    <n v="5"/>
    <n v="136"/>
    <n v="1.7320508075688772"/>
    <n v="0.95"/>
    <n v="2.1506251308180304"/>
    <n v="133"/>
    <n v="137"/>
  </r>
  <r>
    <x v="0"/>
    <s v="2025-04-28 21:47:00"/>
    <n v="1"/>
    <x v="1"/>
    <x v="1"/>
    <x v="0"/>
    <n v="0.39701492537313399"/>
    <n v="0"/>
    <s v="Unnamed ProjectInspectionResource.ScheduledUtilizationScheduled UtilizationResource"/>
    <n v="5"/>
    <n v="0.40587440603092595"/>
    <n v="5.2524152446658907E-3"/>
    <n v="0.95"/>
    <n v="6.5217349129182509E-3"/>
    <n v="0.39701492537313399"/>
    <n v="0.410403651375776"/>
  </r>
  <r>
    <x v="0"/>
    <s v="2025-04-28 21:47:00"/>
    <n v="1"/>
    <x v="2"/>
    <x v="0"/>
    <x v="0"/>
    <n v="133"/>
    <n v="0"/>
    <s v="Unnamed ProjectMachine.NumberSeizedTotal Number SeizedResource"/>
    <n v="5"/>
    <n v="136"/>
    <n v="1.7320508075688772"/>
    <n v="0.95"/>
    <n v="2.1506251308180304"/>
    <n v="133"/>
    <n v="137"/>
  </r>
  <r>
    <x v="0"/>
    <s v="2025-04-28 21:47:00"/>
    <n v="1"/>
    <x v="3"/>
    <x v="1"/>
    <x v="0"/>
    <n v="1"/>
    <n v="0"/>
    <s v="Unnamed ProjectMachine.ScheduledUtilizationScheduled UtilizationResource"/>
    <n v="5"/>
    <n v="1"/>
    <n v="0"/>
    <n v="0.95"/>
    <n v="0"/>
    <n v="1"/>
    <n v="1"/>
  </r>
  <r>
    <x v="0"/>
    <s v="2025-04-28 21:47:00"/>
    <n v="1"/>
    <x v="4"/>
    <x v="2"/>
    <x v="1"/>
    <n v="232"/>
    <n v="0"/>
    <s v="Unnamed ProjectPart.NumberInNumber InEntity"/>
    <n v="5"/>
    <n v="256.60000000000002"/>
    <n v="20.007498594277099"/>
    <n v="0.95"/>
    <n v="24.842590698626289"/>
    <n v="232"/>
    <n v="284"/>
  </r>
  <r>
    <x v="0"/>
    <s v="2025-04-28 21:47:00"/>
    <n v="1"/>
    <x v="5"/>
    <x v="3"/>
    <x v="1"/>
    <n v="233"/>
    <n v="0"/>
    <s v="Unnamed ProjectPart.NumberOutNumber OutEntity"/>
    <n v="5"/>
    <n v="256"/>
    <n v="18.708286933869708"/>
    <n v="0.95"/>
    <n v="23.229406353851896"/>
    <n v="233"/>
    <n v="281"/>
  </r>
  <r>
    <x v="0"/>
    <s v="2025-04-28 21:47:00"/>
    <n v="1"/>
    <x v="6"/>
    <x v="3"/>
    <x v="2"/>
    <n v="233"/>
    <n v="0"/>
    <s v="Unnamed ProjectSystem.NumberOutNumber OutSystem"/>
    <n v="5"/>
    <n v="256"/>
    <n v="18.708286933869708"/>
    <n v="0.95"/>
    <n v="23.229406353851896"/>
    <n v="233"/>
    <n v="281"/>
  </r>
  <r>
    <x v="0"/>
    <s v="2025-04-28 21:47:00"/>
    <n v="2"/>
    <x v="0"/>
    <x v="0"/>
    <x v="0"/>
    <n v="137"/>
    <n v="0"/>
    <s v="Unnamed ProjectInspectionResource.NumberSeizedTotal Number SeizedResource"/>
    <n v="5"/>
    <n v="136"/>
    <n v="1.7320508075688772"/>
    <n v="0.95"/>
    <n v="2.1506251308180304"/>
    <n v="133"/>
    <n v="137"/>
  </r>
  <r>
    <x v="0"/>
    <s v="2025-04-28 21:47:00"/>
    <n v="2"/>
    <x v="1"/>
    <x v="1"/>
    <x v="0"/>
    <n v="0.407232273022538"/>
    <n v="0"/>
    <s v="Unnamed ProjectInspectionResource.ScheduledUtilizationScheduled UtilizationResource"/>
    <n v="5"/>
    <n v="0.40587440603092595"/>
    <n v="5.2524152446658907E-3"/>
    <n v="0.95"/>
    <n v="6.5217349129182509E-3"/>
    <n v="0.39701492537313399"/>
    <n v="0.410403651375776"/>
  </r>
  <r>
    <x v="0"/>
    <s v="2025-04-28 21:47:00"/>
    <n v="2"/>
    <x v="2"/>
    <x v="0"/>
    <x v="0"/>
    <n v="137"/>
    <n v="0"/>
    <s v="Unnamed ProjectMachine.NumberSeizedTotal Number SeizedResource"/>
    <n v="5"/>
    <n v="136"/>
    <n v="1.7320508075688772"/>
    <n v="0.95"/>
    <n v="2.1506251308180304"/>
    <n v="133"/>
    <n v="137"/>
  </r>
  <r>
    <x v="0"/>
    <s v="2025-04-28 21:47:00"/>
    <n v="2"/>
    <x v="3"/>
    <x v="1"/>
    <x v="0"/>
    <n v="1"/>
    <n v="0"/>
    <s v="Unnamed ProjectMachine.ScheduledUtilizationScheduled UtilizationResource"/>
    <n v="5"/>
    <n v="1"/>
    <n v="0"/>
    <n v="0.95"/>
    <n v="0"/>
    <n v="1"/>
    <n v="1"/>
  </r>
  <r>
    <x v="0"/>
    <s v="2025-04-28 21:47:00"/>
    <n v="2"/>
    <x v="4"/>
    <x v="2"/>
    <x v="1"/>
    <n v="284"/>
    <n v="0"/>
    <s v="Unnamed ProjectPart.NumberInNumber InEntity"/>
    <n v="5"/>
    <n v="256.60000000000002"/>
    <n v="20.007498594277099"/>
    <n v="0.95"/>
    <n v="24.842590698626289"/>
    <n v="232"/>
    <n v="284"/>
  </r>
  <r>
    <x v="0"/>
    <s v="2025-04-28 21:47:00"/>
    <n v="2"/>
    <x v="5"/>
    <x v="3"/>
    <x v="1"/>
    <n v="281"/>
    <n v="0"/>
    <s v="Unnamed ProjectPart.NumberOutNumber OutEntity"/>
    <n v="5"/>
    <n v="256"/>
    <n v="18.708286933869708"/>
    <n v="0.95"/>
    <n v="23.229406353851896"/>
    <n v="233"/>
    <n v="281"/>
  </r>
  <r>
    <x v="0"/>
    <s v="2025-04-28 21:47:00"/>
    <n v="2"/>
    <x v="6"/>
    <x v="3"/>
    <x v="2"/>
    <n v="281"/>
    <n v="0"/>
    <s v="Unnamed ProjectSystem.NumberOutNumber OutSystem"/>
    <n v="5"/>
    <n v="256"/>
    <n v="18.708286933869708"/>
    <n v="0.95"/>
    <n v="23.229406353851896"/>
    <n v="233"/>
    <n v="281"/>
  </r>
  <r>
    <x v="0"/>
    <s v="2025-04-28 21:47:00"/>
    <n v="3"/>
    <x v="0"/>
    <x v="0"/>
    <x v="0"/>
    <n v="137"/>
    <n v="0"/>
    <s v="Unnamed ProjectInspectionResource.NumberSeizedTotal Number SeizedResource"/>
    <n v="5"/>
    <n v="136"/>
    <n v="1.7320508075688772"/>
    <n v="0.95"/>
    <n v="2.1506251308180304"/>
    <n v="133"/>
    <n v="137"/>
  </r>
  <r>
    <x v="0"/>
    <s v="2025-04-28 21:47:00"/>
    <n v="3"/>
    <x v="1"/>
    <x v="1"/>
    <x v="0"/>
    <n v="0.410403651375776"/>
    <n v="0"/>
    <s v="Unnamed ProjectInspectionResource.ScheduledUtilizationScheduled UtilizationResource"/>
    <n v="5"/>
    <n v="0.40587440603092595"/>
    <n v="5.2524152446658907E-3"/>
    <n v="0.95"/>
    <n v="6.5217349129182509E-3"/>
    <n v="0.39701492537313399"/>
    <n v="0.410403651375776"/>
  </r>
  <r>
    <x v="0"/>
    <s v="2025-04-28 21:47:00"/>
    <n v="3"/>
    <x v="2"/>
    <x v="0"/>
    <x v="0"/>
    <n v="137"/>
    <n v="0"/>
    <s v="Unnamed ProjectMachine.NumberSeizedTotal Number SeizedResource"/>
    <n v="5"/>
    <n v="136"/>
    <n v="1.7320508075688772"/>
    <n v="0.95"/>
    <n v="2.1506251308180304"/>
    <n v="133"/>
    <n v="137"/>
  </r>
  <r>
    <x v="0"/>
    <s v="2025-04-28 21:47:00"/>
    <n v="3"/>
    <x v="3"/>
    <x v="1"/>
    <x v="0"/>
    <n v="1"/>
    <n v="0"/>
    <s v="Unnamed ProjectMachine.ScheduledUtilizationScheduled UtilizationResource"/>
    <n v="5"/>
    <n v="1"/>
    <n v="0"/>
    <n v="0.95"/>
    <n v="0"/>
    <n v="1"/>
    <n v="1"/>
  </r>
  <r>
    <x v="0"/>
    <s v="2025-04-28 21:47:00"/>
    <n v="3"/>
    <x v="4"/>
    <x v="2"/>
    <x v="1"/>
    <n v="245"/>
    <n v="0"/>
    <s v="Unnamed ProjectPart.NumberInNumber InEntity"/>
    <n v="5"/>
    <n v="256.60000000000002"/>
    <n v="20.007498594277099"/>
    <n v="0.95"/>
    <n v="24.842590698626289"/>
    <n v="232"/>
    <n v="284"/>
  </r>
  <r>
    <x v="0"/>
    <s v="2025-04-28 21:47:00"/>
    <n v="3"/>
    <x v="5"/>
    <x v="3"/>
    <x v="1"/>
    <n v="245"/>
    <n v="0"/>
    <s v="Unnamed ProjectPart.NumberOutNumber OutEntity"/>
    <n v="5"/>
    <n v="256"/>
    <n v="18.708286933869708"/>
    <n v="0.95"/>
    <n v="23.229406353851896"/>
    <n v="233"/>
    <n v="281"/>
  </r>
  <r>
    <x v="0"/>
    <s v="2025-04-28 21:47:00"/>
    <n v="3"/>
    <x v="6"/>
    <x v="3"/>
    <x v="2"/>
    <n v="245"/>
    <n v="0"/>
    <s v="Unnamed ProjectSystem.NumberOutNumber OutSystem"/>
    <n v="5"/>
    <n v="256"/>
    <n v="18.708286933869708"/>
    <n v="0.95"/>
    <n v="23.229406353851896"/>
    <n v="233"/>
    <n v="281"/>
  </r>
  <r>
    <x v="0"/>
    <s v="2025-04-28 21:47:00"/>
    <n v="4"/>
    <x v="0"/>
    <x v="0"/>
    <x v="0"/>
    <n v="137"/>
    <n v="0"/>
    <s v="Unnamed ProjectInspectionResource.NumberSeizedTotal Number SeizedResource"/>
    <n v="5"/>
    <n v="136"/>
    <n v="1.7320508075688772"/>
    <n v="0.95"/>
    <n v="2.1506251308180304"/>
    <n v="133"/>
    <n v="137"/>
  </r>
  <r>
    <x v="0"/>
    <s v="2025-04-28 21:47:00"/>
    <n v="4"/>
    <x v="1"/>
    <x v="1"/>
    <x v="0"/>
    <n v="0.40895522388059702"/>
    <n v="0"/>
    <s v="Unnamed ProjectInspectionResource.ScheduledUtilizationScheduled UtilizationResource"/>
    <n v="5"/>
    <n v="0.40587440603092595"/>
    <n v="5.2524152446658907E-3"/>
    <n v="0.95"/>
    <n v="6.5217349129182509E-3"/>
    <n v="0.39701492537313399"/>
    <n v="0.410403651375776"/>
  </r>
  <r>
    <x v="0"/>
    <s v="2025-04-28 21:47:00"/>
    <n v="4"/>
    <x v="2"/>
    <x v="0"/>
    <x v="0"/>
    <n v="137"/>
    <n v="0"/>
    <s v="Unnamed ProjectMachine.NumberSeizedTotal Number SeizedResource"/>
    <n v="5"/>
    <n v="136"/>
    <n v="1.7320508075688772"/>
    <n v="0.95"/>
    <n v="2.1506251308180304"/>
    <n v="133"/>
    <n v="137"/>
  </r>
  <r>
    <x v="0"/>
    <s v="2025-04-28 21:47:00"/>
    <n v="4"/>
    <x v="3"/>
    <x v="1"/>
    <x v="0"/>
    <n v="1"/>
    <n v="0"/>
    <s v="Unnamed ProjectMachine.ScheduledUtilizationScheduled UtilizationResource"/>
    <n v="5"/>
    <n v="1"/>
    <n v="0"/>
    <n v="0.95"/>
    <n v="0"/>
    <n v="1"/>
    <n v="1"/>
  </r>
  <r>
    <x v="0"/>
    <s v="2025-04-28 21:47:00"/>
    <n v="4"/>
    <x v="4"/>
    <x v="2"/>
    <x v="1"/>
    <n v="267"/>
    <n v="0"/>
    <s v="Unnamed ProjectPart.NumberInNumber InEntity"/>
    <n v="5"/>
    <n v="256.60000000000002"/>
    <n v="20.007498594277099"/>
    <n v="0.95"/>
    <n v="24.842590698626289"/>
    <n v="232"/>
    <n v="284"/>
  </r>
  <r>
    <x v="0"/>
    <s v="2025-04-28 21:47:00"/>
    <n v="4"/>
    <x v="5"/>
    <x v="3"/>
    <x v="1"/>
    <n v="267"/>
    <n v="0"/>
    <s v="Unnamed ProjectPart.NumberOutNumber OutEntity"/>
    <n v="5"/>
    <n v="256"/>
    <n v="18.708286933869708"/>
    <n v="0.95"/>
    <n v="23.229406353851896"/>
    <n v="233"/>
    <n v="281"/>
  </r>
  <r>
    <x v="0"/>
    <s v="2025-04-28 21:47:00"/>
    <n v="4"/>
    <x v="6"/>
    <x v="3"/>
    <x v="2"/>
    <n v="267"/>
    <n v="0"/>
    <s v="Unnamed ProjectSystem.NumberOutNumber OutSystem"/>
    <n v="5"/>
    <n v="256"/>
    <n v="18.708286933869708"/>
    <n v="0.95"/>
    <n v="23.229406353851896"/>
    <n v="233"/>
    <n v="281"/>
  </r>
  <r>
    <x v="0"/>
    <s v="2025-04-28 21:47:00"/>
    <n v="5"/>
    <x v="0"/>
    <x v="0"/>
    <x v="0"/>
    <n v="136"/>
    <n v="0"/>
    <s v="Unnamed ProjectInspectionResource.NumberSeizedTotal Number SeizedResource"/>
    <n v="5"/>
    <n v="136"/>
    <n v="1.7320508075688772"/>
    <n v="0.95"/>
    <n v="2.1506251308180304"/>
    <n v="133"/>
    <n v="137"/>
  </r>
  <r>
    <x v="0"/>
    <s v="2025-04-28 21:47:00"/>
    <n v="5"/>
    <x v="1"/>
    <x v="1"/>
    <x v="0"/>
    <n v="0.40576595650258501"/>
    <n v="0"/>
    <s v="Unnamed ProjectInspectionResource.ScheduledUtilizationScheduled UtilizationResource"/>
    <n v="5"/>
    <n v="0.40587440603092595"/>
    <n v="5.2524152446658907E-3"/>
    <n v="0.95"/>
    <n v="6.5217349129182509E-3"/>
    <n v="0.39701492537313399"/>
    <n v="0.410403651375776"/>
  </r>
  <r>
    <x v="0"/>
    <s v="2025-04-28 21:47:00"/>
    <n v="5"/>
    <x v="2"/>
    <x v="0"/>
    <x v="0"/>
    <n v="136"/>
    <n v="0"/>
    <s v="Unnamed ProjectMachine.NumberSeizedTotal Number SeizedResource"/>
    <n v="5"/>
    <n v="136"/>
    <n v="1.7320508075688772"/>
    <n v="0.95"/>
    <n v="2.1506251308180304"/>
    <n v="133"/>
    <n v="137"/>
  </r>
  <r>
    <x v="0"/>
    <s v="2025-04-28 21:47:00"/>
    <n v="5"/>
    <x v="3"/>
    <x v="1"/>
    <x v="0"/>
    <n v="1"/>
    <n v="0"/>
    <s v="Unnamed ProjectMachine.ScheduledUtilizationScheduled UtilizationResource"/>
    <n v="5"/>
    <n v="1"/>
    <n v="0"/>
    <n v="0.95"/>
    <n v="0"/>
    <n v="1"/>
    <n v="1"/>
  </r>
  <r>
    <x v="0"/>
    <s v="2025-04-28 21:47:00"/>
    <n v="5"/>
    <x v="4"/>
    <x v="2"/>
    <x v="1"/>
    <n v="255"/>
    <n v="0"/>
    <s v="Unnamed ProjectPart.NumberInNumber InEntity"/>
    <n v="5"/>
    <n v="256.60000000000002"/>
    <n v="20.007498594277099"/>
    <n v="0.95"/>
    <n v="24.842590698626289"/>
    <n v="232"/>
    <n v="284"/>
  </r>
  <r>
    <x v="0"/>
    <s v="2025-04-28 21:47:00"/>
    <n v="5"/>
    <x v="5"/>
    <x v="3"/>
    <x v="1"/>
    <n v="254"/>
    <n v="0"/>
    <s v="Unnamed ProjectPart.NumberOutNumber OutEntity"/>
    <n v="5"/>
    <n v="256"/>
    <n v="18.708286933869708"/>
    <n v="0.95"/>
    <n v="23.229406353851896"/>
    <n v="233"/>
    <n v="281"/>
  </r>
  <r>
    <x v="0"/>
    <s v="2025-04-28 21:47:00"/>
    <n v="5"/>
    <x v="6"/>
    <x v="3"/>
    <x v="2"/>
    <n v="254"/>
    <n v="0"/>
    <s v="Unnamed ProjectSystem.NumberOutNumber OutSystem"/>
    <n v="5"/>
    <n v="256"/>
    <n v="18.708286933869708"/>
    <n v="0.95"/>
    <n v="23.229406353851896"/>
    <n v="233"/>
    <n v="28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04-28 21:47:00"/>
    <n v="1"/>
    <x v="0"/>
    <x v="0"/>
    <x v="0"/>
    <n v="0"/>
    <s v="Unnamed ProjectFailCountCountUser Specified"/>
    <n v="5"/>
    <n v="0"/>
    <n v="0"/>
    <n v="0.95"/>
    <n v="0"/>
    <n v="0"/>
    <n v="0"/>
  </r>
  <r>
    <x v="0"/>
    <s v="2025-04-28 21:47:00"/>
    <n v="1"/>
    <x v="1"/>
    <x v="0"/>
    <x v="0"/>
    <n v="104"/>
    <s v="Unnamed ProjectSuccessCountCountUser Specified"/>
    <n v="5"/>
    <n v="107.2"/>
    <n v="4.658325879540846"/>
    <n v="0.95"/>
    <n v="5.7840755365267524"/>
    <n v="102"/>
    <n v="114"/>
  </r>
  <r>
    <x v="0"/>
    <s v="2025-04-28 21:47:00"/>
    <n v="2"/>
    <x v="0"/>
    <x v="0"/>
    <x v="0"/>
    <n v="0"/>
    <s v="Unnamed ProjectFailCountCountUser Specified"/>
    <n v="5"/>
    <n v="0"/>
    <n v="0"/>
    <n v="0.95"/>
    <n v="0"/>
    <n v="0"/>
    <n v="0"/>
  </r>
  <r>
    <x v="0"/>
    <s v="2025-04-28 21:47:00"/>
    <n v="2"/>
    <x v="1"/>
    <x v="0"/>
    <x v="0"/>
    <n v="109"/>
    <s v="Unnamed ProjectSuccessCountCountUser Specified"/>
    <n v="5"/>
    <n v="107.2"/>
    <n v="4.658325879540846"/>
    <n v="0.95"/>
    <n v="5.7840755365267524"/>
    <n v="102"/>
    <n v="114"/>
  </r>
  <r>
    <x v="0"/>
    <s v="2025-04-28 21:47:00"/>
    <n v="3"/>
    <x v="0"/>
    <x v="0"/>
    <x v="0"/>
    <n v="0"/>
    <s v="Unnamed ProjectFailCountCountUser Specified"/>
    <n v="5"/>
    <n v="0"/>
    <n v="0"/>
    <n v="0.95"/>
    <n v="0"/>
    <n v="0"/>
    <n v="0"/>
  </r>
  <r>
    <x v="0"/>
    <s v="2025-04-28 21:47:00"/>
    <n v="3"/>
    <x v="1"/>
    <x v="0"/>
    <x v="0"/>
    <n v="102"/>
    <s v="Unnamed ProjectSuccessCountCountUser Specified"/>
    <n v="5"/>
    <n v="107.2"/>
    <n v="4.658325879540846"/>
    <n v="0.95"/>
    <n v="5.7840755365267524"/>
    <n v="102"/>
    <n v="114"/>
  </r>
  <r>
    <x v="0"/>
    <s v="2025-04-28 21:47:00"/>
    <n v="4"/>
    <x v="0"/>
    <x v="0"/>
    <x v="0"/>
    <n v="0"/>
    <s v="Unnamed ProjectFailCountCountUser Specified"/>
    <n v="5"/>
    <n v="0"/>
    <n v="0"/>
    <n v="0.95"/>
    <n v="0"/>
    <n v="0"/>
    <n v="0"/>
  </r>
  <r>
    <x v="0"/>
    <s v="2025-04-28 21:47:00"/>
    <n v="4"/>
    <x v="1"/>
    <x v="0"/>
    <x v="0"/>
    <n v="114"/>
    <s v="Unnamed ProjectSuccessCountCountUser Specified"/>
    <n v="5"/>
    <n v="107.2"/>
    <n v="4.658325879540846"/>
    <n v="0.95"/>
    <n v="5.7840755365267524"/>
    <n v="102"/>
    <n v="114"/>
  </r>
  <r>
    <x v="0"/>
    <s v="2025-04-28 21:47:00"/>
    <n v="5"/>
    <x v="0"/>
    <x v="0"/>
    <x v="0"/>
    <n v="0"/>
    <s v="Unnamed ProjectFailCountCountUser Specified"/>
    <n v="5"/>
    <n v="0"/>
    <n v="0"/>
    <n v="0.95"/>
    <n v="0"/>
    <n v="0"/>
    <n v="0"/>
  </r>
  <r>
    <x v="0"/>
    <s v="2025-04-28 21:47:00"/>
    <n v="5"/>
    <x v="1"/>
    <x v="0"/>
    <x v="0"/>
    <n v="107"/>
    <s v="Unnamed ProjectSuccessCountCountUser Specified"/>
    <n v="5"/>
    <n v="107.2"/>
    <n v="4.658325879540846"/>
    <n v="0.95"/>
    <n v="5.7840755365267524"/>
    <n v="102"/>
    <n v="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4-28 21:47:00"/>
    <n v="1"/>
    <x v="0"/>
    <x v="0"/>
    <x v="0"/>
    <n v="0.39701492537313399"/>
    <n v="2E+20"/>
    <n v="0"/>
    <n v="1"/>
    <n v="0"/>
    <n v="0"/>
    <s v="Unnamed ProjectInspectionResourceInstantaneous Utilization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1"/>
    <x v="0"/>
    <x v="1"/>
    <x v="0"/>
    <n v="0.39701492537313399"/>
    <n v="2E+20"/>
    <n v="0"/>
    <n v="1"/>
    <n v="0"/>
    <n v="0"/>
    <s v="Unnamed ProjectInspectionResourceNumber Busy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1"/>
    <x v="0"/>
    <x v="2"/>
    <x v="0"/>
    <n v="1"/>
    <n v="2E+20"/>
    <n v="1"/>
    <n v="1"/>
    <n v="1"/>
    <n v="0"/>
    <s v="Unnamed ProjectInspectionResourceNumber ScheduledResource"/>
    <n v="5"/>
    <n v="1"/>
    <n v="0"/>
    <n v="0.95"/>
    <n v="0"/>
    <n v="1"/>
    <n v="1"/>
    <n v="0"/>
  </r>
  <r>
    <x v="0"/>
    <s v="2025-04-28 21:47:00"/>
    <n v="1"/>
    <x v="1"/>
    <x v="3"/>
    <x v="1"/>
    <n v="2.0317766246655902"/>
    <n v="2E+20"/>
    <n v="0"/>
    <n v="4"/>
    <n v="2"/>
    <n v="0"/>
    <s v="Unnamed ProjectM1.QueueNumber WaitingQueue"/>
    <n v="5"/>
    <n v="2.370979437113454"/>
    <n v="0.25326784386688805"/>
    <n v="0.95"/>
    <n v="0.31447356363220685"/>
    <n v="2.0317766246655902"/>
    <n v="2.6895326890894502"/>
    <n v="0.31447356363220685"/>
  </r>
  <r>
    <x v="0"/>
    <s v="2025-04-28 21:47:00"/>
    <n v="1"/>
    <x v="2"/>
    <x v="3"/>
    <x v="1"/>
    <n v="2.4983648624854702"/>
    <n v="2E+20"/>
    <n v="0"/>
    <n v="6"/>
    <n v="2"/>
    <n v="0"/>
    <s v="Unnamed ProjectM2.QueueNumber WaitingQueue"/>
    <n v="5"/>
    <n v="2.4522251515215081"/>
    <n v="0.22926889171178949"/>
    <n v="0.95"/>
    <n v="0.28467492874660633"/>
    <n v="2.0485744622565001"/>
    <n v="2.6047822870144102"/>
    <n v="0.28467492874660633"/>
  </r>
  <r>
    <x v="0"/>
    <s v="2025-04-28 21:47:00"/>
    <n v="1"/>
    <x v="3"/>
    <x v="3"/>
    <x v="1"/>
    <n v="2.2409894715268499"/>
    <n v="2E+20"/>
    <n v="0"/>
    <n v="6"/>
    <n v="2"/>
    <n v="0"/>
    <s v="Unnamed ProjectM3.QueueNumber WaitingQueue"/>
    <n v="5"/>
    <n v="2.2754694577872945"/>
    <n v="0.12204989248682958"/>
    <n v="0.95"/>
    <n v="0.15154495748553637"/>
    <n v="2.17414122760947"/>
    <n v="2.4838381145044202"/>
    <n v="0.15154495748553637"/>
  </r>
  <r>
    <x v="0"/>
    <s v="2025-04-28 21:47:00"/>
    <n v="1"/>
    <x v="4"/>
    <x v="3"/>
    <x v="1"/>
    <n v="2.4772395380488099"/>
    <n v="2E+20"/>
    <n v="0"/>
    <n v="6"/>
    <n v="3"/>
    <n v="0"/>
    <s v="Unnamed ProjectM4.QueueNumber WaitingQueue"/>
    <n v="5"/>
    <n v="2.1938041053181379"/>
    <n v="0.30062231062298123"/>
    <n v="0.95"/>
    <n v="0.37327190015738471"/>
    <n v="1.8835316579544901"/>
    <n v="2.5371941367333499"/>
    <n v="0.37327190015738471"/>
  </r>
  <r>
    <x v="0"/>
    <s v="2025-04-28 21:47:00"/>
    <n v="1"/>
    <x v="5"/>
    <x v="0"/>
    <x v="0"/>
    <n v="1"/>
    <n v="2E+20"/>
    <n v="0"/>
    <n v="1"/>
    <n v="1"/>
    <n v="0"/>
    <s v="Unnamed ProjectMachineInstantaneous UtilizationResource"/>
    <n v="5"/>
    <n v="1"/>
    <n v="0"/>
    <n v="0.95"/>
    <n v="0"/>
    <n v="1"/>
    <n v="1"/>
    <n v="0"/>
  </r>
  <r>
    <x v="0"/>
    <s v="2025-04-28 21:47:00"/>
    <n v="1"/>
    <x v="5"/>
    <x v="1"/>
    <x v="0"/>
    <n v="1"/>
    <n v="2E+20"/>
    <n v="0"/>
    <n v="1"/>
    <n v="1"/>
    <n v="0"/>
    <s v="Unnamed ProjectMachineNumber BusyResource"/>
    <n v="5"/>
    <n v="1"/>
    <n v="0"/>
    <n v="0.95"/>
    <n v="0"/>
    <n v="1"/>
    <n v="1"/>
    <n v="0"/>
  </r>
  <r>
    <x v="0"/>
    <s v="2025-04-28 21:47:00"/>
    <n v="1"/>
    <x v="5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8 21:47:00"/>
    <n v="1"/>
    <x v="6"/>
    <x v="4"/>
    <x v="2"/>
    <n v="10.645385422099899"/>
    <n v="2E+20"/>
    <n v="8"/>
    <n v="13"/>
    <n v="10"/>
    <n v="0"/>
    <s v="Unnamed ProjectPartWIPEntity"/>
    <n v="5"/>
    <n v="10.698475994327259"/>
    <n v="0.12993315112386442"/>
    <n v="0.95"/>
    <n v="0.16133331592367137"/>
    <n v="10.575819847901499"/>
    <n v="10.8926574008073"/>
    <n v="0.16133331592367137"/>
  </r>
  <r>
    <x v="0"/>
    <s v="2025-04-28 21:47:00"/>
    <n v="1"/>
    <x v="7"/>
    <x v="3"/>
    <x v="1"/>
    <n v="0"/>
    <n v="2E+20"/>
    <n v="0"/>
    <n v="0"/>
    <n v="0"/>
    <n v="0"/>
    <s v="Unnamed ProjectProcess 8.QueueNumber WaitingQueue"/>
    <n v="5"/>
    <n v="1.2343655593416658E-4"/>
    <n v="2.7601252997725155E-4"/>
    <n v="0.95"/>
    <n v="3.4271482152589043E-4"/>
    <n v="0"/>
    <n v="6.1718277967083297E-4"/>
    <n v="3.4271482152589043E-4"/>
  </r>
  <r>
    <x v="0"/>
    <s v="2025-04-28 21:47:00"/>
    <n v="2"/>
    <x v="0"/>
    <x v="0"/>
    <x v="0"/>
    <n v="0.407232273022538"/>
    <n v="2E+20"/>
    <n v="0"/>
    <n v="1"/>
    <n v="1"/>
    <n v="0"/>
    <s v="Unnamed ProjectInspectionResourceInstantaneous Utilization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2"/>
    <x v="0"/>
    <x v="1"/>
    <x v="0"/>
    <n v="0.407232273022538"/>
    <n v="2E+20"/>
    <n v="0"/>
    <n v="1"/>
    <n v="1"/>
    <n v="0"/>
    <s v="Unnamed ProjectInspectionResourceNumber Busy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2"/>
    <x v="0"/>
    <x v="2"/>
    <x v="0"/>
    <n v="1"/>
    <n v="2E+20"/>
    <n v="1"/>
    <n v="1"/>
    <n v="1"/>
    <n v="0"/>
    <s v="Unnamed ProjectInspectionResourceNumber ScheduledResource"/>
    <n v="5"/>
    <n v="1"/>
    <n v="0"/>
    <n v="0.95"/>
    <n v="0"/>
    <n v="1"/>
    <n v="1"/>
    <n v="0"/>
  </r>
  <r>
    <x v="0"/>
    <s v="2025-04-28 21:47:00"/>
    <n v="2"/>
    <x v="1"/>
    <x v="3"/>
    <x v="1"/>
    <n v="2.47464360038287"/>
    <n v="2E+20"/>
    <n v="0"/>
    <n v="5"/>
    <n v="2"/>
    <n v="0"/>
    <s v="Unnamed ProjectM1.QueueNumber WaitingQueue"/>
    <n v="5"/>
    <n v="2.370979437113454"/>
    <n v="0.25326784386688805"/>
    <n v="0.95"/>
    <n v="0.31447356363220685"/>
    <n v="2.0317766246655902"/>
    <n v="2.6895326890894502"/>
    <n v="0.31447356363220685"/>
  </r>
  <r>
    <x v="0"/>
    <s v="2025-04-28 21:47:00"/>
    <n v="2"/>
    <x v="2"/>
    <x v="3"/>
    <x v="1"/>
    <n v="2.5761196886232098"/>
    <n v="2E+20"/>
    <n v="0"/>
    <n v="6"/>
    <n v="3"/>
    <n v="0"/>
    <s v="Unnamed ProjectM2.QueueNumber WaitingQueue"/>
    <n v="5"/>
    <n v="2.4522251515215081"/>
    <n v="0.22926889171178949"/>
    <n v="0.95"/>
    <n v="0.28467492874660633"/>
    <n v="2.0485744622565001"/>
    <n v="2.6047822870144102"/>
    <n v="0.28467492874660633"/>
  </r>
  <r>
    <x v="0"/>
    <s v="2025-04-28 21:47:00"/>
    <n v="2"/>
    <x v="3"/>
    <x v="3"/>
    <x v="1"/>
    <n v="2.17414122760947"/>
    <n v="2E+20"/>
    <n v="0"/>
    <n v="8"/>
    <n v="2"/>
    <n v="0"/>
    <s v="Unnamed ProjectM3.QueueNumber WaitingQueue"/>
    <n v="5"/>
    <n v="2.2754694577872945"/>
    <n v="0.12204989248682958"/>
    <n v="0.95"/>
    <n v="0.15154495748553637"/>
    <n v="2.17414122760947"/>
    <n v="2.4838381145044202"/>
    <n v="0.15154495748553637"/>
  </r>
  <r>
    <x v="0"/>
    <s v="2025-04-28 21:47:00"/>
    <n v="2"/>
    <x v="4"/>
    <x v="3"/>
    <x v="1"/>
    <n v="1.9436830582634601"/>
    <n v="2E+20"/>
    <n v="0"/>
    <n v="4"/>
    <n v="2"/>
    <n v="0"/>
    <s v="Unnamed ProjectM4.QueueNumber WaitingQueue"/>
    <n v="5"/>
    <n v="2.1938041053181379"/>
    <n v="0.30062231062298123"/>
    <n v="0.95"/>
    <n v="0.37327190015738471"/>
    <n v="1.8835316579544901"/>
    <n v="2.5371941367333499"/>
    <n v="0.37327190015738471"/>
  </r>
  <r>
    <x v="0"/>
    <s v="2025-04-28 21:47:00"/>
    <n v="2"/>
    <x v="5"/>
    <x v="0"/>
    <x v="0"/>
    <n v="1"/>
    <n v="2E+20"/>
    <n v="0"/>
    <n v="1"/>
    <n v="1"/>
    <n v="0"/>
    <s v="Unnamed ProjectMachineInstantaneous UtilizationResource"/>
    <n v="5"/>
    <n v="1"/>
    <n v="0"/>
    <n v="0.95"/>
    <n v="0"/>
    <n v="1"/>
    <n v="1"/>
    <n v="0"/>
  </r>
  <r>
    <x v="0"/>
    <s v="2025-04-28 21:47:00"/>
    <n v="2"/>
    <x v="5"/>
    <x v="1"/>
    <x v="0"/>
    <n v="1"/>
    <n v="2E+20"/>
    <n v="0"/>
    <n v="1"/>
    <n v="1"/>
    <n v="0"/>
    <s v="Unnamed ProjectMachineNumber BusyResource"/>
    <n v="5"/>
    <n v="1"/>
    <n v="0"/>
    <n v="0.95"/>
    <n v="0"/>
    <n v="1"/>
    <n v="1"/>
    <n v="0"/>
  </r>
  <r>
    <x v="0"/>
    <s v="2025-04-28 21:47:00"/>
    <n v="2"/>
    <x v="5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8 21:47:00"/>
    <n v="2"/>
    <x v="6"/>
    <x v="4"/>
    <x v="2"/>
    <n v="10.575819847901499"/>
    <n v="2E+20"/>
    <n v="6"/>
    <n v="13"/>
    <n v="11"/>
    <n v="0"/>
    <s v="Unnamed ProjectPartWIPEntity"/>
    <n v="5"/>
    <n v="10.698475994327259"/>
    <n v="0.12993315112386442"/>
    <n v="0.95"/>
    <n v="0.16133331592367137"/>
    <n v="10.575819847901499"/>
    <n v="10.8926574008073"/>
    <n v="0.16133331592367137"/>
  </r>
  <r>
    <x v="0"/>
    <s v="2025-04-28 21:47:00"/>
    <n v="2"/>
    <x v="7"/>
    <x v="3"/>
    <x v="1"/>
    <n v="0"/>
    <n v="2E+20"/>
    <n v="0"/>
    <n v="0"/>
    <n v="0"/>
    <n v="0"/>
    <s v="Unnamed ProjectProcess 8.QueueNumber WaitingQueue"/>
    <n v="5"/>
    <n v="1.2343655593416658E-4"/>
    <n v="2.7601252997725155E-4"/>
    <n v="0.95"/>
    <n v="3.4271482152589043E-4"/>
    <n v="0"/>
    <n v="6.1718277967083297E-4"/>
    <n v="3.4271482152589043E-4"/>
  </r>
  <r>
    <x v="0"/>
    <s v="2025-04-28 21:47:00"/>
    <n v="3"/>
    <x v="0"/>
    <x v="0"/>
    <x v="0"/>
    <n v="0.410403651375776"/>
    <n v="2E+20"/>
    <n v="0"/>
    <n v="1"/>
    <n v="0"/>
    <n v="0"/>
    <s v="Unnamed ProjectInspectionResourceInstantaneous Utilization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3"/>
    <x v="0"/>
    <x v="1"/>
    <x v="0"/>
    <n v="0.410403651375776"/>
    <n v="2E+20"/>
    <n v="0"/>
    <n v="1"/>
    <n v="0"/>
    <n v="0"/>
    <s v="Unnamed ProjectInspectionResourceNumber Busy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3"/>
    <x v="0"/>
    <x v="2"/>
    <x v="0"/>
    <n v="1"/>
    <n v="2E+20"/>
    <n v="1"/>
    <n v="1"/>
    <n v="1"/>
    <n v="0"/>
    <s v="Unnamed ProjectInspectionResourceNumber ScheduledResource"/>
    <n v="5"/>
    <n v="1"/>
    <n v="0"/>
    <n v="0.95"/>
    <n v="0"/>
    <n v="1"/>
    <n v="1"/>
    <n v="0"/>
  </r>
  <r>
    <x v="0"/>
    <s v="2025-04-28 21:47:00"/>
    <n v="3"/>
    <x v="1"/>
    <x v="3"/>
    <x v="1"/>
    <n v="2.6895326890894502"/>
    <n v="2E+20"/>
    <n v="0"/>
    <n v="7"/>
    <n v="2"/>
    <n v="0"/>
    <s v="Unnamed ProjectM1.QueueNumber WaitingQueue"/>
    <n v="5"/>
    <n v="2.370979437113454"/>
    <n v="0.25326784386688805"/>
    <n v="0.95"/>
    <n v="0.31447356363220685"/>
    <n v="2.0317766246655902"/>
    <n v="2.6895326890894502"/>
    <n v="0.31447356363220685"/>
  </r>
  <r>
    <x v="0"/>
    <s v="2025-04-28 21:47:00"/>
    <n v="3"/>
    <x v="2"/>
    <x v="3"/>
    <x v="1"/>
    <n v="2.0485744622565001"/>
    <n v="2E+20"/>
    <n v="0"/>
    <n v="4"/>
    <n v="2"/>
    <n v="0"/>
    <s v="Unnamed ProjectM2.QueueNumber WaitingQueue"/>
    <n v="5"/>
    <n v="2.4522251515215081"/>
    <n v="0.22926889171178949"/>
    <n v="0.95"/>
    <n v="0.28467492874660633"/>
    <n v="2.0485744622565001"/>
    <n v="2.6047822870144102"/>
    <n v="0.28467492874660633"/>
  </r>
  <r>
    <x v="0"/>
    <s v="2025-04-28 21:47:00"/>
    <n v="3"/>
    <x v="3"/>
    <x v="3"/>
    <x v="1"/>
    <n v="2.2069524613522602"/>
    <n v="2E+20"/>
    <n v="0"/>
    <n v="6"/>
    <n v="1"/>
    <n v="0"/>
    <s v="Unnamed ProjectM3.QueueNumber WaitingQueue"/>
    <n v="5"/>
    <n v="2.2754694577872945"/>
    <n v="0.12204989248682958"/>
    <n v="0.95"/>
    <n v="0.15154495748553637"/>
    <n v="2.17414122760947"/>
    <n v="2.4838381145044202"/>
    <n v="0.15154495748553637"/>
  </r>
  <r>
    <x v="0"/>
    <s v="2025-04-28 21:47:00"/>
    <n v="3"/>
    <x v="4"/>
    <x v="3"/>
    <x v="1"/>
    <n v="2.5371941367333499"/>
    <n v="2E+20"/>
    <n v="0"/>
    <n v="7"/>
    <n v="5"/>
    <n v="0"/>
    <s v="Unnamed ProjectM4.QueueNumber WaitingQueue"/>
    <n v="5"/>
    <n v="2.1938041053181379"/>
    <n v="0.30062231062298123"/>
    <n v="0.95"/>
    <n v="0.37327190015738471"/>
    <n v="1.8835316579544901"/>
    <n v="2.5371941367333499"/>
    <n v="0.37327190015738471"/>
  </r>
  <r>
    <x v="0"/>
    <s v="2025-04-28 21:47:00"/>
    <n v="3"/>
    <x v="5"/>
    <x v="0"/>
    <x v="0"/>
    <n v="1"/>
    <n v="2E+20"/>
    <n v="0"/>
    <n v="1"/>
    <n v="1"/>
    <n v="0"/>
    <s v="Unnamed ProjectMachineInstantaneous UtilizationResource"/>
    <n v="5"/>
    <n v="1"/>
    <n v="0"/>
    <n v="0.95"/>
    <n v="0"/>
    <n v="1"/>
    <n v="1"/>
    <n v="0"/>
  </r>
  <r>
    <x v="0"/>
    <s v="2025-04-28 21:47:00"/>
    <n v="3"/>
    <x v="5"/>
    <x v="1"/>
    <x v="0"/>
    <n v="1"/>
    <n v="2E+20"/>
    <n v="0"/>
    <n v="1"/>
    <n v="1"/>
    <n v="0"/>
    <s v="Unnamed ProjectMachineNumber BusyResource"/>
    <n v="5"/>
    <n v="1"/>
    <n v="0"/>
    <n v="0.95"/>
    <n v="0"/>
    <n v="1"/>
    <n v="1"/>
    <n v="0"/>
  </r>
  <r>
    <x v="0"/>
    <s v="2025-04-28 21:47:00"/>
    <n v="3"/>
    <x v="5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8 21:47:00"/>
    <n v="3"/>
    <x v="6"/>
    <x v="4"/>
    <x v="2"/>
    <n v="10.8926574008073"/>
    <n v="2E+20"/>
    <n v="8"/>
    <n v="13"/>
    <n v="11"/>
    <n v="0"/>
    <s v="Unnamed ProjectPartWIPEntity"/>
    <n v="5"/>
    <n v="10.698475994327259"/>
    <n v="0.12993315112386442"/>
    <n v="0.95"/>
    <n v="0.16133331592367137"/>
    <n v="10.575819847901499"/>
    <n v="10.8926574008073"/>
    <n v="0.16133331592367137"/>
  </r>
  <r>
    <x v="0"/>
    <s v="2025-04-28 21:47:00"/>
    <n v="3"/>
    <x v="7"/>
    <x v="3"/>
    <x v="1"/>
    <n v="0"/>
    <n v="2E+20"/>
    <n v="0"/>
    <n v="0"/>
    <n v="0"/>
    <n v="0"/>
    <s v="Unnamed ProjectProcess 8.QueueNumber WaitingQueue"/>
    <n v="5"/>
    <n v="1.2343655593416658E-4"/>
    <n v="2.7601252997725155E-4"/>
    <n v="0.95"/>
    <n v="3.4271482152589043E-4"/>
    <n v="0"/>
    <n v="6.1718277967083297E-4"/>
    <n v="3.4271482152589043E-4"/>
  </r>
  <r>
    <x v="0"/>
    <s v="2025-04-28 21:47:00"/>
    <n v="4"/>
    <x v="0"/>
    <x v="0"/>
    <x v="0"/>
    <n v="0.40895522388059702"/>
    <n v="2E+20"/>
    <n v="0"/>
    <n v="1"/>
    <n v="0"/>
    <n v="0"/>
    <s v="Unnamed ProjectInspectionResourceInstantaneous Utilization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4"/>
    <x v="0"/>
    <x v="1"/>
    <x v="0"/>
    <n v="0.40895522388059702"/>
    <n v="2E+20"/>
    <n v="0"/>
    <n v="1"/>
    <n v="0"/>
    <n v="0"/>
    <s v="Unnamed ProjectInspectionResourceNumber Busy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4"/>
    <x v="0"/>
    <x v="2"/>
    <x v="0"/>
    <n v="1"/>
    <n v="2E+20"/>
    <n v="1"/>
    <n v="1"/>
    <n v="1"/>
    <n v="0"/>
    <s v="Unnamed ProjectInspectionResourceNumber ScheduledResource"/>
    <n v="5"/>
    <n v="1"/>
    <n v="0"/>
    <n v="0.95"/>
    <n v="0"/>
    <n v="1"/>
    <n v="1"/>
    <n v="0"/>
  </r>
  <r>
    <x v="0"/>
    <s v="2025-04-28 21:47:00"/>
    <n v="4"/>
    <x v="1"/>
    <x v="3"/>
    <x v="1"/>
    <n v="2.4431640653881201"/>
    <n v="2E+20"/>
    <n v="0"/>
    <n v="5"/>
    <n v="1"/>
    <n v="0"/>
    <s v="Unnamed ProjectM1.QueueNumber WaitingQueue"/>
    <n v="5"/>
    <n v="2.370979437113454"/>
    <n v="0.25326784386688805"/>
    <n v="0.95"/>
    <n v="0.31447356363220685"/>
    <n v="2.0317766246655902"/>
    <n v="2.6895326890894502"/>
    <n v="0.31447356363220685"/>
  </r>
  <r>
    <x v="0"/>
    <s v="2025-04-28 21:47:00"/>
    <n v="4"/>
    <x v="2"/>
    <x v="3"/>
    <x v="1"/>
    <n v="2.6047822870144102"/>
    <n v="2E+20"/>
    <n v="0"/>
    <n v="7"/>
    <n v="2"/>
    <n v="0"/>
    <s v="Unnamed ProjectM2.QueueNumber WaitingQueue"/>
    <n v="5"/>
    <n v="2.4522251515215081"/>
    <n v="0.22926889171178949"/>
    <n v="0.95"/>
    <n v="0.28467492874660633"/>
    <n v="2.0485744622565001"/>
    <n v="2.6047822870144102"/>
    <n v="0.28467492874660633"/>
  </r>
  <r>
    <x v="0"/>
    <s v="2025-04-28 21:47:00"/>
    <n v="4"/>
    <x v="3"/>
    <x v="3"/>
    <x v="1"/>
    <n v="2.2714260139434699"/>
    <n v="2E+20"/>
    <n v="0"/>
    <n v="7"/>
    <n v="6"/>
    <n v="0"/>
    <s v="Unnamed ProjectM3.QueueNumber WaitingQueue"/>
    <n v="5"/>
    <n v="2.2754694577872945"/>
    <n v="0.12204989248682958"/>
    <n v="0.95"/>
    <n v="0.15154495748553637"/>
    <n v="2.17414122760947"/>
    <n v="2.4838381145044202"/>
    <n v="0.15154495748553637"/>
  </r>
  <r>
    <x v="0"/>
    <s v="2025-04-28 21:47:00"/>
    <n v="4"/>
    <x v="4"/>
    <x v="3"/>
    <x v="1"/>
    <n v="1.8835316579544901"/>
    <n v="2E+20"/>
    <n v="0"/>
    <n v="5"/>
    <n v="1"/>
    <n v="0"/>
    <s v="Unnamed ProjectM4.QueueNumber WaitingQueue"/>
    <n v="5"/>
    <n v="2.1938041053181379"/>
    <n v="0.30062231062298123"/>
    <n v="0.95"/>
    <n v="0.37327190015738471"/>
    <n v="1.8835316579544901"/>
    <n v="2.5371941367333499"/>
    <n v="0.37327190015738471"/>
  </r>
  <r>
    <x v="0"/>
    <s v="2025-04-28 21:47:00"/>
    <n v="4"/>
    <x v="5"/>
    <x v="0"/>
    <x v="0"/>
    <n v="1"/>
    <n v="2E+20"/>
    <n v="0"/>
    <n v="1"/>
    <n v="1"/>
    <n v="0"/>
    <s v="Unnamed ProjectMachineInstantaneous UtilizationResource"/>
    <n v="5"/>
    <n v="1"/>
    <n v="0"/>
    <n v="0.95"/>
    <n v="0"/>
    <n v="1"/>
    <n v="1"/>
    <n v="0"/>
  </r>
  <r>
    <x v="0"/>
    <s v="2025-04-28 21:47:00"/>
    <n v="4"/>
    <x v="5"/>
    <x v="1"/>
    <x v="0"/>
    <n v="1"/>
    <n v="2E+20"/>
    <n v="0"/>
    <n v="1"/>
    <n v="1"/>
    <n v="0"/>
    <s v="Unnamed ProjectMachineNumber BusyResource"/>
    <n v="5"/>
    <n v="1"/>
    <n v="0"/>
    <n v="0.95"/>
    <n v="0"/>
    <n v="1"/>
    <n v="1"/>
    <n v="0"/>
  </r>
  <r>
    <x v="0"/>
    <s v="2025-04-28 21:47:00"/>
    <n v="4"/>
    <x v="5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8 21:47:00"/>
    <n v="4"/>
    <x v="6"/>
    <x v="4"/>
    <x v="2"/>
    <n v="10.6124764309608"/>
    <n v="2E+20"/>
    <n v="7"/>
    <n v="13"/>
    <n v="11"/>
    <n v="0"/>
    <s v="Unnamed ProjectPartWIPEntity"/>
    <n v="5"/>
    <n v="10.698475994327259"/>
    <n v="0.12993315112386442"/>
    <n v="0.95"/>
    <n v="0.16133331592367137"/>
    <n v="10.575819847901499"/>
    <n v="10.8926574008073"/>
    <n v="0.16133331592367137"/>
  </r>
  <r>
    <x v="0"/>
    <s v="2025-04-28 21:47:00"/>
    <n v="4"/>
    <x v="7"/>
    <x v="3"/>
    <x v="1"/>
    <n v="6.1718277967083297E-4"/>
    <n v="2E+20"/>
    <n v="0"/>
    <n v="1"/>
    <n v="0"/>
    <n v="0"/>
    <s v="Unnamed ProjectProcess 8.QueueNumber WaitingQueue"/>
    <n v="5"/>
    <n v="1.2343655593416658E-4"/>
    <n v="2.7601252997725155E-4"/>
    <n v="0.95"/>
    <n v="3.4271482152589043E-4"/>
    <n v="0"/>
    <n v="6.1718277967083297E-4"/>
    <n v="3.4271482152589043E-4"/>
  </r>
  <r>
    <x v="0"/>
    <s v="2025-04-28 21:47:00"/>
    <n v="5"/>
    <x v="0"/>
    <x v="0"/>
    <x v="0"/>
    <n v="0.40576595650258501"/>
    <n v="2E+20"/>
    <n v="0"/>
    <n v="1"/>
    <n v="1"/>
    <n v="0"/>
    <s v="Unnamed ProjectInspectionResourceInstantaneous Utilization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5"/>
    <x v="0"/>
    <x v="1"/>
    <x v="0"/>
    <n v="0.40576595650258501"/>
    <n v="2E+20"/>
    <n v="0"/>
    <n v="1"/>
    <n v="1"/>
    <n v="0"/>
    <s v="Unnamed ProjectInspectionResourceNumber BusyResource"/>
    <n v="5"/>
    <n v="0.40587440603092595"/>
    <n v="5.2524152446658907E-3"/>
    <n v="0.95"/>
    <n v="6.5217349129182509E-3"/>
    <n v="0.39701492537313399"/>
    <n v="0.410403651375776"/>
    <n v="6.5217349129182509E-3"/>
  </r>
  <r>
    <x v="0"/>
    <s v="2025-04-28 21:47:00"/>
    <n v="5"/>
    <x v="0"/>
    <x v="2"/>
    <x v="0"/>
    <n v="1"/>
    <n v="2E+20"/>
    <n v="1"/>
    <n v="1"/>
    <n v="1"/>
    <n v="0"/>
    <s v="Unnamed ProjectInspectionResourceNumber ScheduledResource"/>
    <n v="5"/>
    <n v="1"/>
    <n v="0"/>
    <n v="0.95"/>
    <n v="0"/>
    <n v="1"/>
    <n v="1"/>
    <n v="0"/>
  </r>
  <r>
    <x v="0"/>
    <s v="2025-04-28 21:47:00"/>
    <n v="5"/>
    <x v="1"/>
    <x v="3"/>
    <x v="1"/>
    <n v="2.2157802060412402"/>
    <n v="2E+20"/>
    <n v="0"/>
    <n v="5"/>
    <n v="1"/>
    <n v="0"/>
    <s v="Unnamed ProjectM1.QueueNumber WaitingQueue"/>
    <n v="5"/>
    <n v="2.370979437113454"/>
    <n v="0.25326784386688805"/>
    <n v="0.95"/>
    <n v="0.31447356363220685"/>
    <n v="2.0317766246655902"/>
    <n v="2.6895326890894502"/>
    <n v="0.31447356363220685"/>
  </r>
  <r>
    <x v="0"/>
    <s v="2025-04-28 21:47:00"/>
    <n v="5"/>
    <x v="2"/>
    <x v="3"/>
    <x v="1"/>
    <n v="2.5332844572279498"/>
    <n v="2E+20"/>
    <n v="0"/>
    <n v="5"/>
    <n v="2"/>
    <n v="0"/>
    <s v="Unnamed ProjectM2.QueueNumber WaitingQueue"/>
    <n v="5"/>
    <n v="2.4522251515215081"/>
    <n v="0.22926889171178949"/>
    <n v="0.95"/>
    <n v="0.28467492874660633"/>
    <n v="2.0485744622565001"/>
    <n v="2.6047822870144102"/>
    <n v="0.28467492874660633"/>
  </r>
  <r>
    <x v="0"/>
    <s v="2025-04-28 21:47:00"/>
    <n v="5"/>
    <x v="3"/>
    <x v="3"/>
    <x v="1"/>
    <n v="2.4838381145044202"/>
    <n v="2E+20"/>
    <n v="0"/>
    <n v="6"/>
    <n v="4"/>
    <n v="0"/>
    <s v="Unnamed ProjectM3.QueueNumber WaitingQueue"/>
    <n v="5"/>
    <n v="2.2754694577872945"/>
    <n v="0.12204989248682958"/>
    <n v="0.95"/>
    <n v="0.15154495748553637"/>
    <n v="2.17414122760947"/>
    <n v="2.4838381145044202"/>
    <n v="0.15154495748553637"/>
  </r>
  <r>
    <x v="0"/>
    <s v="2025-04-28 21:47:00"/>
    <n v="5"/>
    <x v="4"/>
    <x v="3"/>
    <x v="1"/>
    <n v="2.1273721355905799"/>
    <n v="2E+20"/>
    <n v="0"/>
    <n v="5"/>
    <n v="3"/>
    <n v="0"/>
    <s v="Unnamed ProjectM4.QueueNumber WaitingQueue"/>
    <n v="5"/>
    <n v="2.1938041053181379"/>
    <n v="0.30062231062298123"/>
    <n v="0.95"/>
    <n v="0.37327190015738471"/>
    <n v="1.8835316579544901"/>
    <n v="2.5371941367333499"/>
    <n v="0.37327190015738471"/>
  </r>
  <r>
    <x v="0"/>
    <s v="2025-04-28 21:47:00"/>
    <n v="5"/>
    <x v="5"/>
    <x v="0"/>
    <x v="0"/>
    <n v="1"/>
    <n v="2E+20"/>
    <n v="0"/>
    <n v="1"/>
    <n v="1"/>
    <n v="0"/>
    <s v="Unnamed ProjectMachineInstantaneous UtilizationResource"/>
    <n v="5"/>
    <n v="1"/>
    <n v="0"/>
    <n v="0.95"/>
    <n v="0"/>
    <n v="1"/>
    <n v="1"/>
    <n v="0"/>
  </r>
  <r>
    <x v="0"/>
    <s v="2025-04-28 21:47:00"/>
    <n v="5"/>
    <x v="5"/>
    <x v="1"/>
    <x v="0"/>
    <n v="1"/>
    <n v="2E+20"/>
    <n v="0"/>
    <n v="1"/>
    <n v="1"/>
    <n v="0"/>
    <s v="Unnamed ProjectMachineNumber BusyResource"/>
    <n v="5"/>
    <n v="1"/>
    <n v="0"/>
    <n v="0.95"/>
    <n v="0"/>
    <n v="1"/>
    <n v="1"/>
    <n v="0"/>
  </r>
  <r>
    <x v="0"/>
    <s v="2025-04-28 21:47:00"/>
    <n v="5"/>
    <x v="5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8 21:47:00"/>
    <n v="5"/>
    <x v="6"/>
    <x v="4"/>
    <x v="2"/>
    <n v="10.766040869866799"/>
    <n v="2E+20"/>
    <n v="7"/>
    <n v="13"/>
    <n v="12"/>
    <n v="0"/>
    <s v="Unnamed ProjectPartWIPEntity"/>
    <n v="5"/>
    <n v="10.698475994327259"/>
    <n v="0.12993315112386442"/>
    <n v="0.95"/>
    <n v="0.16133331592367137"/>
    <n v="10.575819847901499"/>
    <n v="10.8926574008073"/>
    <n v="0.16133331592367137"/>
  </r>
  <r>
    <x v="0"/>
    <s v="2025-04-28 21:47:00"/>
    <n v="5"/>
    <x v="7"/>
    <x v="3"/>
    <x v="1"/>
    <n v="0"/>
    <n v="2E+20"/>
    <n v="0"/>
    <n v="0"/>
    <n v="0"/>
    <n v="0"/>
    <s v="Unnamed ProjectProcess 8.QueueNumber WaitingQueue"/>
    <n v="5"/>
    <n v="1.2343655593416658E-4"/>
    <n v="2.7601252997725155E-4"/>
    <n v="0.95"/>
    <n v="3.4271482152589043E-4"/>
    <n v="0"/>
    <n v="6.1718277967083297E-4"/>
    <n v="3.4271482152589043E-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6"/>
        <item m="1" x="39"/>
        <item m="1" x="11"/>
        <item m="1" x="91"/>
        <item m="1" x="74"/>
        <item m="1" x="44"/>
        <item m="1" x="100"/>
        <item m="1" x="32"/>
        <item m="1" x="36"/>
        <item m="1" x="103"/>
        <item m="1" x="69"/>
        <item m="1" x="81"/>
        <item m="1" x="86"/>
        <item m="1" x="10"/>
        <item m="1" x="38"/>
        <item m="1" x="28"/>
        <item m="1" x="104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1"/>
        <item m="1" x="8"/>
        <item m="1" x="32"/>
        <item m="1" x="9"/>
        <item m="1" x="33"/>
        <item m="1" x="10"/>
        <item m="1" x="34"/>
        <item m="1" x="11"/>
        <item m="1" x="65"/>
        <item m="1" x="21"/>
        <item x="6"/>
        <item m="1" x="64"/>
        <item m="1" x="51"/>
        <item m="1" x="68"/>
        <item m="1" x="53"/>
        <item m="1" x="69"/>
        <item m="1" x="76"/>
        <item x="2"/>
        <item x="3"/>
        <item m="1" x="62"/>
        <item m="1" x="52"/>
        <item m="1" x="50"/>
        <item m="1" x="17"/>
        <item m="1" x="60"/>
        <item m="1" x="26"/>
        <item m="1" x="61"/>
        <item m="1" x="27"/>
        <item m="1" x="59"/>
        <item m="1" x="79"/>
        <item m="1" x="20"/>
        <item m="1" x="82"/>
        <item m="1" x="47"/>
        <item m="1" x="15"/>
        <item m="1" x="77"/>
        <item m="1" x="72"/>
        <item m="1" x="48"/>
        <item m="1" x="16"/>
        <item m="1" x="78"/>
        <item m="1" x="73"/>
        <item m="1" x="12"/>
        <item m="1" x="45"/>
        <item m="1" x="29"/>
        <item m="1" x="19"/>
        <item m="1" x="70"/>
        <item m="1" x="41"/>
        <item m="1" x="71"/>
        <item m="1" x="42"/>
        <item m="1" x="28"/>
        <item m="1" x="23"/>
        <item m="1" x="49"/>
        <item m="1" x="25"/>
        <item m="1" x="81"/>
        <item m="1" x="74"/>
        <item m="1" x="24"/>
        <item m="1" x="22"/>
        <item m="1" x="66"/>
        <item m="1" x="75"/>
        <item m="1" x="13"/>
        <item m="1" x="30"/>
        <item m="1" x="43"/>
        <item m="1" x="63"/>
        <item m="1" x="80"/>
        <item m="1" x="14"/>
        <item m="1" x="40"/>
        <item m="1" x="44"/>
        <item m="1" x="67"/>
        <item m="1" x="46"/>
        <item m="1" x="18"/>
        <item m="1" x="35"/>
        <item m="1" x="54"/>
        <item m="1" x="36"/>
        <item m="1" x="55"/>
        <item m="1" x="37"/>
        <item m="1" x="56"/>
        <item m="1" x="38"/>
        <item m="1" x="57"/>
        <item m="1" x="39"/>
        <item m="1" x="58"/>
        <item m="1" x="7"/>
        <item x="0"/>
        <item x="1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7"/>
      <x v="3"/>
      <x v="1"/>
    </i>
    <i r="1">
      <x v="18"/>
      <x v="2"/>
      <x v="1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4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3"/>
        <item m="1" x="14"/>
        <item m="1" x="30"/>
        <item m="1" x="38"/>
        <item m="1" x="51"/>
        <item m="1" x="50"/>
        <item m="1" x="15"/>
        <item m="1" x="115"/>
        <item m="1" x="93"/>
        <item m="1" x="56"/>
        <item m="1" x="43"/>
        <item m="1" x="47"/>
        <item m="1" x="129"/>
        <item x="5"/>
        <item m="1" x="114"/>
        <item m="1" x="36"/>
        <item m="1" x="87"/>
        <item m="1" x="101"/>
        <item m="1" x="12"/>
        <item m="1" x="37"/>
        <item m="1" x="124"/>
        <item m="1" x="27"/>
        <item m="1" x="116"/>
        <item m="1" x="16"/>
        <item m="1" x="42"/>
        <item m="1" x="68"/>
        <item m="1" x="13"/>
        <item m="1" x="19"/>
        <item m="1" x="88"/>
        <item m="1" x="69"/>
        <item m="1" x="103"/>
        <item m="1" x="59"/>
        <item m="1" x="24"/>
        <item m="1" x="53"/>
        <item m="1" x="89"/>
        <item m="1" x="74"/>
        <item m="1" x="25"/>
        <item m="1" x="34"/>
        <item m="1" x="96"/>
        <item m="1" x="11"/>
        <item m="1" x="123"/>
        <item m="1" x="81"/>
        <item m="1" x="22"/>
        <item m="1" x="106"/>
        <item m="1" x="52"/>
        <item m="1" x="125"/>
        <item m="1" x="86"/>
        <item m="1" x="29"/>
        <item m="1" x="73"/>
        <item m="1" x="92"/>
        <item m="1" x="105"/>
        <item m="1" x="113"/>
        <item m="1" x="122"/>
        <item m="1" x="10"/>
        <item m="1" x="28"/>
        <item m="1" x="41"/>
        <item m="1" x="31"/>
        <item m="1" x="9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6"/>
        <item m="1" x="32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20"/>
        <item m="1" x="84"/>
        <item m="1" x="100"/>
        <item m="1" x="109"/>
        <item m="1" x="117"/>
        <item m="1" x="128"/>
        <item m="1" x="17"/>
        <item m="1" x="35"/>
        <item m="1" x="127"/>
        <item m="1" x="18"/>
        <item m="1" x="85"/>
        <item m="1" x="60"/>
        <item m="1" x="75"/>
        <item m="1" x="21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8"/>
        <item x="0"/>
        <item x="1"/>
        <item x="2"/>
        <item x="3"/>
        <item x="4"/>
        <item x="6"/>
        <item x="7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2">
    <i>
      <x v="3"/>
      <x v="13"/>
      <x/>
      <x v="2"/>
    </i>
    <i r="2">
      <x v="1"/>
      <x v="2"/>
    </i>
    <i r="2">
      <x v="2"/>
      <x v="2"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56" tableType="queryTable" totalsRowShown="0">
  <autoFilter ref="A1:Y56" xr:uid="{C3D003CA-1AFF-426C-A03D-D3AF5760DF1A}"/>
  <sortState xmlns:xlrd2="http://schemas.microsoft.com/office/spreadsheetml/2017/richdata2" ref="A2:Y56">
    <sortCondition ref="D1:D5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1" tableType="queryTable" totalsRowShown="0">
  <autoFilter ref="A1:U6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1" tableType="queryTable" totalsRowShown="0">
  <autoFilter ref="A1:O1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6" tableType="queryTable" totalsRowShown="0">
  <autoFilter ref="A1:P3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60.7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109</v>
      </c>
      <c r="D2">
        <v>2</v>
      </c>
      <c r="E2">
        <v>5</v>
      </c>
      <c r="F2">
        <v>1340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4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91.693433633466768</v>
      </c>
      <c r="F3" s="5">
        <v>1</v>
      </c>
      <c r="G3" s="5">
        <v>1.4430125334647474</v>
      </c>
      <c r="H3" s="5">
        <v>1.1621602426681144</v>
      </c>
      <c r="I3" s="5">
        <v>90.333841384583394</v>
      </c>
      <c r="J3" s="5">
        <v>93.099035860971398</v>
      </c>
      <c r="K3" s="5">
        <v>51.393308356792801</v>
      </c>
      <c r="L3" s="5">
        <v>111.77390802037399</v>
      </c>
      <c r="M3" s="5">
        <v>34.6</v>
      </c>
      <c r="O3" t="s">
        <v>66</v>
      </c>
      <c r="P3" t="s">
        <v>90</v>
      </c>
      <c r="Q3" t="s">
        <v>85</v>
      </c>
      <c r="R3" t="s">
        <v>86</v>
      </c>
      <c r="S3" s="5">
        <v>1</v>
      </c>
      <c r="T3" s="5">
        <v>0</v>
      </c>
      <c r="U3" s="5">
        <v>0</v>
      </c>
      <c r="V3" s="5">
        <v>1</v>
      </c>
      <c r="W3" s="5">
        <v>1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K3" t="s">
        <v>66</v>
      </c>
      <c r="AL3" t="s">
        <v>106</v>
      </c>
      <c r="AM3" t="s">
        <v>105</v>
      </c>
      <c r="AN3" t="s">
        <v>107</v>
      </c>
      <c r="AO3" s="5">
        <v>256</v>
      </c>
      <c r="AP3" s="5">
        <v>23.229406353851896</v>
      </c>
      <c r="AQ3" s="5">
        <v>18.708286933869708</v>
      </c>
      <c r="AR3" s="5">
        <v>233</v>
      </c>
      <c r="AS3" s="5">
        <v>281</v>
      </c>
      <c r="AU3" t="s">
        <v>108</v>
      </c>
      <c r="AV3" t="s">
        <v>108</v>
      </c>
      <c r="AW3" t="s">
        <v>108</v>
      </c>
      <c r="AX3" t="s">
        <v>108</v>
      </c>
      <c r="AY3" s="4"/>
      <c r="AZ3" s="4"/>
    </row>
    <row r="4" spans="1:52" x14ac:dyDescent="0.3">
      <c r="B4" t="s">
        <v>72</v>
      </c>
      <c r="C4" t="s">
        <v>70</v>
      </c>
      <c r="D4" t="s">
        <v>71</v>
      </c>
      <c r="E4" s="5">
        <v>91.191083332163188</v>
      </c>
      <c r="F4" s="5">
        <v>1</v>
      </c>
      <c r="G4" s="5">
        <v>3.4176889778986324</v>
      </c>
      <c r="H4" s="5">
        <v>2.7525071056604564</v>
      </c>
      <c r="I4" s="5">
        <v>87.049876470286605</v>
      </c>
      <c r="J4" s="5">
        <v>94.427138243400094</v>
      </c>
      <c r="K4" s="5">
        <v>63.102161136153001</v>
      </c>
      <c r="L4" s="5">
        <v>106.822242739091</v>
      </c>
      <c r="M4" s="5">
        <v>35.6</v>
      </c>
      <c r="Q4" t="s">
        <v>87</v>
      </c>
      <c r="R4" t="s">
        <v>86</v>
      </c>
      <c r="S4" s="5">
        <v>1</v>
      </c>
      <c r="T4" s="5">
        <v>0</v>
      </c>
      <c r="U4" s="5">
        <v>0</v>
      </c>
      <c r="V4" s="5">
        <v>1</v>
      </c>
      <c r="W4" s="5">
        <v>1</v>
      </c>
      <c r="X4" s="5">
        <v>0</v>
      </c>
      <c r="Y4" s="5">
        <v>1</v>
      </c>
      <c r="AB4" t="s">
        <v>95</v>
      </c>
      <c r="AC4" t="s">
        <v>93</v>
      </c>
      <c r="AD4" t="s">
        <v>94</v>
      </c>
      <c r="AE4" s="5">
        <v>107.2</v>
      </c>
      <c r="AF4" s="5">
        <v>5.7840755365267524</v>
      </c>
      <c r="AG4" s="5">
        <v>4.658325879540846</v>
      </c>
      <c r="AH4" s="5">
        <v>102</v>
      </c>
      <c r="AI4" s="5">
        <v>114</v>
      </c>
      <c r="AL4" t="s">
        <v>100</v>
      </c>
      <c r="AM4" t="s">
        <v>97</v>
      </c>
      <c r="AN4" t="s">
        <v>86</v>
      </c>
      <c r="AO4" s="5">
        <v>136</v>
      </c>
      <c r="AP4" s="5">
        <v>2.1506251308180304</v>
      </c>
      <c r="AQ4" s="5">
        <v>1.7320508075688772</v>
      </c>
      <c r="AR4" s="5">
        <v>133</v>
      </c>
      <c r="AS4" s="5">
        <v>137</v>
      </c>
    </row>
    <row r="5" spans="1:52" x14ac:dyDescent="0.3">
      <c r="B5" t="s">
        <v>73</v>
      </c>
      <c r="C5" t="s">
        <v>70</v>
      </c>
      <c r="D5" t="s">
        <v>71</v>
      </c>
      <c r="E5" s="5">
        <v>89.037725761683078</v>
      </c>
      <c r="F5" s="5">
        <v>1</v>
      </c>
      <c r="G5" s="5">
        <v>5.9801142059485128</v>
      </c>
      <c r="H5" s="5">
        <v>4.8162097110003694</v>
      </c>
      <c r="I5" s="5">
        <v>81.449666237786701</v>
      </c>
      <c r="J5" s="5">
        <v>92.591564056300598</v>
      </c>
      <c r="K5" s="5">
        <v>33.586070215684998</v>
      </c>
      <c r="L5" s="5">
        <v>109.348355223756</v>
      </c>
      <c r="M5" s="5">
        <v>33.799999999999997</v>
      </c>
      <c r="Q5" t="s">
        <v>88</v>
      </c>
      <c r="R5" t="s">
        <v>86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101</v>
      </c>
      <c r="AM5" t="s">
        <v>99</v>
      </c>
      <c r="AN5" t="s">
        <v>86</v>
      </c>
      <c r="AO5" s="5">
        <v>1</v>
      </c>
      <c r="AP5" s="5">
        <v>0</v>
      </c>
      <c r="AQ5" s="5">
        <v>0</v>
      </c>
      <c r="AR5" s="5">
        <v>1</v>
      </c>
      <c r="AS5" s="5">
        <v>1</v>
      </c>
    </row>
    <row r="6" spans="1:52" x14ac:dyDescent="0.3">
      <c r="B6" t="s">
        <v>74</v>
      </c>
      <c r="C6" t="s">
        <v>70</v>
      </c>
      <c r="D6" t="s">
        <v>71</v>
      </c>
      <c r="E6" s="5">
        <v>90.799126839777585</v>
      </c>
      <c r="F6" s="5">
        <v>1</v>
      </c>
      <c r="G6" s="5">
        <v>1.0671934205049525</v>
      </c>
      <c r="H6" s="5">
        <v>0.85948648108408798</v>
      </c>
      <c r="I6" s="5">
        <v>89.516859378217006</v>
      </c>
      <c r="J6" s="5">
        <v>91.649029187166505</v>
      </c>
      <c r="K6" s="5">
        <v>47.084639463362301</v>
      </c>
      <c r="L6" s="5">
        <v>109.068187341166</v>
      </c>
      <c r="M6" s="5">
        <v>32</v>
      </c>
      <c r="P6" t="s">
        <v>84</v>
      </c>
      <c r="Q6" t="s">
        <v>85</v>
      </c>
      <c r="R6" t="s">
        <v>86</v>
      </c>
      <c r="S6" s="5">
        <v>0.40587440603092595</v>
      </c>
      <c r="T6" s="5">
        <v>6.5217349129182509E-3</v>
      </c>
      <c r="U6" s="5">
        <v>5.2524152446658907E-3</v>
      </c>
      <c r="V6" s="5">
        <v>0.39701492537313399</v>
      </c>
      <c r="W6" s="5">
        <v>0.410403651375776</v>
      </c>
      <c r="X6" s="5">
        <v>0</v>
      </c>
      <c r="Y6" s="5">
        <v>1</v>
      </c>
      <c r="AL6" t="s">
        <v>96</v>
      </c>
      <c r="AM6" t="s">
        <v>97</v>
      </c>
      <c r="AN6" t="s">
        <v>86</v>
      </c>
      <c r="AO6" s="5">
        <v>136</v>
      </c>
      <c r="AP6" s="5">
        <v>2.1506251308180304</v>
      </c>
      <c r="AQ6" s="5">
        <v>1.7320508075688772</v>
      </c>
      <c r="AR6" s="5">
        <v>133</v>
      </c>
      <c r="AS6" s="5">
        <v>137</v>
      </c>
    </row>
    <row r="7" spans="1:52" x14ac:dyDescent="0.3">
      <c r="B7" t="s">
        <v>75</v>
      </c>
      <c r="C7" t="s">
        <v>76</v>
      </c>
      <c r="D7" t="s">
        <v>77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256</v>
      </c>
      <c r="Q7" t="s">
        <v>87</v>
      </c>
      <c r="R7" t="s">
        <v>86</v>
      </c>
      <c r="S7" s="5">
        <v>0.40587440603092595</v>
      </c>
      <c r="T7" s="5">
        <v>6.5217349129182509E-3</v>
      </c>
      <c r="U7" s="5">
        <v>5.2524152446658907E-3</v>
      </c>
      <c r="V7" s="5">
        <v>0.39701492537313399</v>
      </c>
      <c r="W7" s="5">
        <v>0.410403651375776</v>
      </c>
      <c r="X7" s="5">
        <v>0</v>
      </c>
      <c r="Y7" s="5">
        <v>1</v>
      </c>
      <c r="AL7" t="s">
        <v>98</v>
      </c>
      <c r="AM7" t="s">
        <v>99</v>
      </c>
      <c r="AN7" t="s">
        <v>86</v>
      </c>
      <c r="AO7" s="5">
        <v>0.40587440603092595</v>
      </c>
      <c r="AP7" s="5">
        <v>6.5217349129182509E-3</v>
      </c>
      <c r="AQ7" s="5">
        <v>5.2524152446658907E-3</v>
      </c>
      <c r="AR7" s="5">
        <v>0.39701492537313399</v>
      </c>
      <c r="AS7" s="5">
        <v>0.410403651375776</v>
      </c>
    </row>
    <row r="8" spans="1:52" x14ac:dyDescent="0.3">
      <c r="C8" t="s">
        <v>78</v>
      </c>
      <c r="D8" t="s">
        <v>77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256</v>
      </c>
      <c r="Q8" t="s">
        <v>88</v>
      </c>
      <c r="R8" t="s">
        <v>86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102</v>
      </c>
      <c r="AM8" t="s">
        <v>103</v>
      </c>
      <c r="AN8" t="s">
        <v>77</v>
      </c>
      <c r="AO8" s="5">
        <v>256.60000000000002</v>
      </c>
      <c r="AP8" s="5">
        <v>24.842590698626289</v>
      </c>
      <c r="AQ8" s="5">
        <v>20.007498594277099</v>
      </c>
      <c r="AR8" s="5">
        <v>232</v>
      </c>
      <c r="AS8" s="5">
        <v>284</v>
      </c>
    </row>
    <row r="9" spans="1:52" x14ac:dyDescent="0.3">
      <c r="C9" t="s">
        <v>79</v>
      </c>
      <c r="D9" t="s">
        <v>77</v>
      </c>
      <c r="E9" s="5">
        <v>55.288848927915112</v>
      </c>
      <c r="F9" s="5">
        <v>1</v>
      </c>
      <c r="G9" s="5">
        <v>6.3247928499273032</v>
      </c>
      <c r="H9" s="5">
        <v>5.0938038463521353</v>
      </c>
      <c r="I9" s="5">
        <v>47.607660595137602</v>
      </c>
      <c r="J9" s="5">
        <v>60.441273086848902</v>
      </c>
      <c r="K9" s="5">
        <v>0</v>
      </c>
      <c r="L9" s="5">
        <v>335.59840125437103</v>
      </c>
      <c r="M9" s="5">
        <v>256</v>
      </c>
      <c r="P9" t="s">
        <v>69</v>
      </c>
      <c r="Q9" t="s">
        <v>89</v>
      </c>
      <c r="R9" t="s">
        <v>71</v>
      </c>
      <c r="S9" s="5">
        <v>2.370979437113454</v>
      </c>
      <c r="T9" s="5">
        <v>0.31447356363220685</v>
      </c>
      <c r="U9" s="5">
        <v>0.25326784386688805</v>
      </c>
      <c r="V9" s="5">
        <v>2.0317766246655902</v>
      </c>
      <c r="W9" s="5">
        <v>2.6895326890894502</v>
      </c>
      <c r="X9" s="5">
        <v>0</v>
      </c>
      <c r="Y9" s="5">
        <v>7</v>
      </c>
      <c r="AL9" t="s">
        <v>104</v>
      </c>
      <c r="AM9" t="s">
        <v>105</v>
      </c>
      <c r="AN9" t="s">
        <v>77</v>
      </c>
      <c r="AO9" s="5">
        <v>256</v>
      </c>
      <c r="AP9" s="5">
        <v>23.229406353851896</v>
      </c>
      <c r="AQ9" s="5">
        <v>18.708286933869708</v>
      </c>
      <c r="AR9" s="5">
        <v>233</v>
      </c>
      <c r="AS9" s="5">
        <v>281</v>
      </c>
    </row>
    <row r="10" spans="1:52" x14ac:dyDescent="0.3">
      <c r="C10" t="s">
        <v>80</v>
      </c>
      <c r="D10" t="s">
        <v>77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256</v>
      </c>
      <c r="P10" t="s">
        <v>72</v>
      </c>
      <c r="Q10" t="s">
        <v>89</v>
      </c>
      <c r="R10" t="s">
        <v>71</v>
      </c>
      <c r="S10" s="5">
        <v>2.4522251515215081</v>
      </c>
      <c r="T10" s="5">
        <v>0.28467492874660633</v>
      </c>
      <c r="U10" s="5">
        <v>0.22926889171178949</v>
      </c>
      <c r="V10" s="5">
        <v>2.0485744622565001</v>
      </c>
      <c r="W10" s="5">
        <v>2.6047822870144102</v>
      </c>
      <c r="X10" s="5">
        <v>0</v>
      </c>
      <c r="Y10" s="5">
        <v>7</v>
      </c>
    </row>
    <row r="11" spans="1:52" x14ac:dyDescent="0.3">
      <c r="C11" t="s">
        <v>81</v>
      </c>
      <c r="D11" t="s">
        <v>77</v>
      </c>
      <c r="E11" s="5">
        <v>7.3855923773434755</v>
      </c>
      <c r="F11" s="5">
        <v>1</v>
      </c>
      <c r="G11" s="5">
        <v>0.71557980770875518</v>
      </c>
      <c r="H11" s="5">
        <v>0.57630712394330419</v>
      </c>
      <c r="I11" s="5">
        <v>6.5519833180988396</v>
      </c>
      <c r="J11" s="5">
        <v>8.0408473428622198</v>
      </c>
      <c r="K11" s="5">
        <v>0</v>
      </c>
      <c r="L11" s="5">
        <v>43.848221005228901</v>
      </c>
      <c r="M11" s="5">
        <v>256</v>
      </c>
      <c r="P11" t="s">
        <v>73</v>
      </c>
      <c r="Q11" t="s">
        <v>89</v>
      </c>
      <c r="R11" t="s">
        <v>71</v>
      </c>
      <c r="S11" s="5">
        <v>2.2754694577872945</v>
      </c>
      <c r="T11" s="5">
        <v>0.15154495748553637</v>
      </c>
      <c r="U11" s="5">
        <v>0.12204989248682958</v>
      </c>
      <c r="V11" s="5">
        <v>2.17414122760947</v>
      </c>
      <c r="W11" s="5">
        <v>2.4838381145044202</v>
      </c>
      <c r="X11" s="5">
        <v>0</v>
      </c>
      <c r="Y11" s="5">
        <v>8</v>
      </c>
    </row>
    <row r="12" spans="1:52" x14ac:dyDescent="0.3">
      <c r="C12" t="s">
        <v>82</v>
      </c>
      <c r="D12" t="s">
        <v>77</v>
      </c>
      <c r="E12" s="5">
        <v>47.903256550571641</v>
      </c>
      <c r="F12" s="5">
        <v>1</v>
      </c>
      <c r="G12" s="5">
        <v>5.6124290088036606</v>
      </c>
      <c r="H12" s="5">
        <v>4.5200867681778671</v>
      </c>
      <c r="I12" s="5">
        <v>41.055677277038797</v>
      </c>
      <c r="J12" s="5">
        <v>52.400425743986602</v>
      </c>
      <c r="K12" s="5">
        <v>0</v>
      </c>
      <c r="L12" s="5">
        <v>291.75018024914198</v>
      </c>
      <c r="M12" s="5">
        <v>256</v>
      </c>
      <c r="P12" t="s">
        <v>74</v>
      </c>
      <c r="Q12" t="s">
        <v>89</v>
      </c>
      <c r="R12" t="s">
        <v>71</v>
      </c>
      <c r="S12" s="5">
        <v>2.1938041053181379</v>
      </c>
      <c r="T12" s="5">
        <v>0.37327190015738471</v>
      </c>
      <c r="U12" s="5">
        <v>0.30062231062298123</v>
      </c>
      <c r="V12" s="5">
        <v>1.8835316579544901</v>
      </c>
      <c r="W12" s="5">
        <v>2.5371941367333499</v>
      </c>
      <c r="X12" s="5">
        <v>0</v>
      </c>
      <c r="Y12" s="5">
        <v>7</v>
      </c>
    </row>
    <row r="13" spans="1:52" x14ac:dyDescent="0.3">
      <c r="B13" t="s">
        <v>83</v>
      </c>
      <c r="C13" t="s">
        <v>70</v>
      </c>
      <c r="D13" t="s">
        <v>71</v>
      </c>
      <c r="E13" s="5">
        <v>1.20733565658236E-3</v>
      </c>
      <c r="F13" s="5">
        <v>1</v>
      </c>
      <c r="G13" s="5">
        <v>3.352101174048857E-3</v>
      </c>
      <c r="H13" s="5">
        <v>2.6996845997774984E-3</v>
      </c>
      <c r="I13" s="5">
        <v>0</v>
      </c>
      <c r="J13" s="5">
        <v>6.0366782829118001E-3</v>
      </c>
      <c r="K13" s="5">
        <v>0</v>
      </c>
      <c r="L13" s="5">
        <v>0.82702492475891598</v>
      </c>
      <c r="M13" s="5">
        <v>136</v>
      </c>
      <c r="P13" t="s">
        <v>75</v>
      </c>
      <c r="Q13" t="s">
        <v>91</v>
      </c>
      <c r="R13" t="s">
        <v>77</v>
      </c>
      <c r="S13" s="5">
        <v>10.698475994327259</v>
      </c>
      <c r="T13" s="5">
        <v>0.16133331592367137</v>
      </c>
      <c r="U13" s="5">
        <v>0.12993315112386442</v>
      </c>
      <c r="V13" s="5">
        <v>10.575819847901499</v>
      </c>
      <c r="W13" s="5">
        <v>10.8926574008073</v>
      </c>
      <c r="X13" s="5">
        <v>6</v>
      </c>
      <c r="Y13" s="5">
        <v>13</v>
      </c>
    </row>
    <row r="14" spans="1:52" x14ac:dyDescent="0.3">
      <c r="P14" t="s">
        <v>83</v>
      </c>
      <c r="Q14" t="s">
        <v>89</v>
      </c>
      <c r="R14" t="s">
        <v>71</v>
      </c>
      <c r="S14" s="5">
        <v>1.2343655593416658E-4</v>
      </c>
      <c r="T14" s="5">
        <v>3.4271482152589043E-4</v>
      </c>
      <c r="U14" s="5">
        <v>2.7601252997725155E-4</v>
      </c>
      <c r="V14" s="5">
        <v>0</v>
      </c>
      <c r="W14" s="5">
        <v>6.1718277967083297E-4</v>
      </c>
      <c r="X14" s="5">
        <v>0</v>
      </c>
      <c r="Y14" s="5">
        <v>1</v>
      </c>
    </row>
  </sheetData>
  <dataConsolidate/>
  <phoneticPr fontId="3" type="noConversion"/>
  <conditionalFormatting pivot="1" sqref="G3:G13">
    <cfRule type="expression" dxfId="63" priority="14">
      <formula>G3=200000000000000000000</formula>
    </cfRule>
  </conditionalFormatting>
  <conditionalFormatting pivot="1" sqref="T3:T14">
    <cfRule type="expression" dxfId="62" priority="13">
      <formula>T3=200000000000000000000</formula>
    </cfRule>
  </conditionalFormatting>
  <conditionalFormatting pivot="1" sqref="T3:T14">
    <cfRule type="expression" dxfId="61" priority="12">
      <formula>T3=300000000000000000000</formula>
    </cfRule>
  </conditionalFormatting>
  <conditionalFormatting pivot="1" sqref="G3:G13">
    <cfRule type="expression" dxfId="60" priority="11">
      <formula>G3=300000000000000000000</formula>
    </cfRule>
  </conditionalFormatting>
  <conditionalFormatting pivot="1" sqref="F3:F13">
    <cfRule type="expression" dxfId="59" priority="10">
      <formula>F3=0</formula>
    </cfRule>
  </conditionalFormatting>
  <conditionalFormatting pivot="1" sqref="F3:F13">
    <cfRule type="expression" dxfId="58" priority="9">
      <formula>F3=1</formula>
    </cfRule>
  </conditionalFormatting>
  <conditionalFormatting pivot="1" sqref="T3:T14">
    <cfRule type="expression" dxfId="57" priority="8">
      <formula>T3=400000000000000000000</formula>
    </cfRule>
  </conditionalFormatting>
  <conditionalFormatting pivot="1" sqref="AP3:AP9">
    <cfRule type="expression" dxfId="56" priority="7">
      <formula>AP3=400000000000000000000</formula>
    </cfRule>
  </conditionalFormatting>
  <conditionalFormatting pivot="1" sqref="AF3:AF4">
    <cfRule type="expression" dxfId="55" priority="6">
      <formula>AF3=400000000000000000000</formula>
    </cfRule>
  </conditionalFormatting>
  <conditionalFormatting pivot="1" sqref="G3:G13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56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6.0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109</v>
      </c>
      <c r="C2">
        <v>1</v>
      </c>
      <c r="D2" t="s">
        <v>69</v>
      </c>
      <c r="E2" t="s">
        <v>70</v>
      </c>
      <c r="F2" t="s">
        <v>71</v>
      </c>
      <c r="G2">
        <v>92.602892984342205</v>
      </c>
      <c r="H2">
        <v>2E+20</v>
      </c>
      <c r="I2">
        <v>57.912634120058101</v>
      </c>
      <c r="J2">
        <v>110.686610279763</v>
      </c>
      <c r="K2">
        <v>29</v>
      </c>
      <c r="L2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91.693433633466768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1.1621602426681144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1.4430125334647474</v>
      </c>
      <c r="R2" cm="1">
        <f t="array" ref="R2">MIN(IF((DiscreteStatsTable[GroupByKey]=DiscreteStatsTable[[#This Row],[GroupByKey]]),(DiscreteStatsTable[GroupByKey]=DiscreteStatsTable[[#This Row],[GroupByKey]])*DiscreteStatsTable[Average]))</f>
        <v>90.333841384583394</v>
      </c>
      <c r="S2" cm="1">
        <f t="array" ref="S2">MAX(IF((DiscreteStatsTable[GroupByKey]=DiscreteStatsTable[[#This Row],[GroupByKey]]),(DiscreteStatsTable[GroupByKey]=DiscreteStatsTable[[#This Row],[GroupByKey]])*DiscreteStatsTable[Average]))</f>
        <v>93.099035860971398</v>
      </c>
      <c r="T2" cm="1">
        <f t="array" ref="T2">MIN(IF((DiscreteStatsTable[GroupByKey]=DiscreteStatsTable[[#This Row],[GroupByKey]]),(DiscreteStatsTable[GroupByKey]=DiscreteStatsTable[[#This Row],[GroupByKey]])*DiscreteStatsTable[Minimum]))</f>
        <v>51.393308356792801</v>
      </c>
      <c r="U2" cm="1">
        <f t="array" ref="U2">MAX(IF((DiscreteStatsTable[GroupByKey]=DiscreteStatsTable[[#This Row],[GroupByKey]]),(DiscreteStatsTable[GroupByKey]=DiscreteStatsTable[[#This Row],[GroupByKey]])*DiscreteStatsTable[Maximum]))</f>
        <v>111.77390802037399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34.6</v>
      </c>
      <c r="W2">
        <f>IF((DiscreteStatsTable[[#This Row],[RepsRequested]]&gt;1),DiscreteStatsTable[[#This Row],[HalfWidth]],DiscreteStatsTable[[#This Row],[BatchMeansHalfWidth]])</f>
        <v>1.4430125334647474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109</v>
      </c>
      <c r="C3">
        <v>2</v>
      </c>
      <c r="D3" t="s">
        <v>69</v>
      </c>
      <c r="E3" t="s">
        <v>70</v>
      </c>
      <c r="F3" t="s">
        <v>71</v>
      </c>
      <c r="G3">
        <v>90.333841384583394</v>
      </c>
      <c r="H3">
        <v>2E+20</v>
      </c>
      <c r="I3">
        <v>51.393308356792801</v>
      </c>
      <c r="J3">
        <v>105.617619013782</v>
      </c>
      <c r="K3">
        <v>36</v>
      </c>
      <c r="L3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91.693433633466768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1.1621602426681144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1.4430125334647474</v>
      </c>
      <c r="R3" cm="1">
        <f t="array" ref="R3">MIN(IF((DiscreteStatsTable[GroupByKey]=DiscreteStatsTable[[#This Row],[GroupByKey]]),(DiscreteStatsTable[GroupByKey]=DiscreteStatsTable[[#This Row],[GroupByKey]])*DiscreteStatsTable[Average]))</f>
        <v>90.333841384583394</v>
      </c>
      <c r="S3" cm="1">
        <f t="array" ref="S3">MAX(IF((DiscreteStatsTable[GroupByKey]=DiscreteStatsTable[[#This Row],[GroupByKey]]),(DiscreteStatsTable[GroupByKey]=DiscreteStatsTable[[#This Row],[GroupByKey]])*DiscreteStatsTable[Average]))</f>
        <v>93.099035860971398</v>
      </c>
      <c r="T3" cm="1">
        <f t="array" ref="T3">MIN(IF((DiscreteStatsTable[GroupByKey]=DiscreteStatsTable[[#This Row],[GroupByKey]]),(DiscreteStatsTable[GroupByKey]=DiscreteStatsTable[[#This Row],[GroupByKey]])*DiscreteStatsTable[Minimum]))</f>
        <v>51.393308356792801</v>
      </c>
      <c r="U3" cm="1">
        <f t="array" ref="U3">MAX(IF((DiscreteStatsTable[GroupByKey]=DiscreteStatsTable[[#This Row],[GroupByKey]]),(DiscreteStatsTable[GroupByKey]=DiscreteStatsTable[[#This Row],[GroupByKey]])*DiscreteStatsTable[Maximum]))</f>
        <v>111.77390802037399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34.6</v>
      </c>
      <c r="W3">
        <f>IF((DiscreteStatsTable[[#This Row],[RepsRequested]]&gt;1),DiscreteStatsTable[[#This Row],[HalfWidth]],DiscreteStatsTable[[#This Row],[BatchMeansHalfWidth]])</f>
        <v>1.4430125334647474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109</v>
      </c>
      <c r="C4">
        <v>3</v>
      </c>
      <c r="D4" t="s">
        <v>69</v>
      </c>
      <c r="E4" t="s">
        <v>70</v>
      </c>
      <c r="F4" t="s">
        <v>71</v>
      </c>
      <c r="G4">
        <v>93.099035860971398</v>
      </c>
      <c r="H4">
        <v>2E+20</v>
      </c>
      <c r="I4">
        <v>82.505776490128099</v>
      </c>
      <c r="J4">
        <v>106.600164920213</v>
      </c>
      <c r="K4">
        <v>39</v>
      </c>
      <c r="L4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91.693433633466768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1.1621602426681144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1.4430125334647474</v>
      </c>
      <c r="R4" cm="1">
        <f t="array" ref="R4">MIN(IF((DiscreteStatsTable[GroupByKey]=DiscreteStatsTable[[#This Row],[GroupByKey]]),(DiscreteStatsTable[GroupByKey]=DiscreteStatsTable[[#This Row],[GroupByKey]])*DiscreteStatsTable[Average]))</f>
        <v>90.333841384583394</v>
      </c>
      <c r="S4" cm="1">
        <f t="array" ref="S4">MAX(IF((DiscreteStatsTable[GroupByKey]=DiscreteStatsTable[[#This Row],[GroupByKey]]),(DiscreteStatsTable[GroupByKey]=DiscreteStatsTable[[#This Row],[GroupByKey]])*DiscreteStatsTable[Average]))</f>
        <v>93.099035860971398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51.393308356792801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111.77390802037399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34.6</v>
      </c>
      <c r="W4">
        <f>IF((DiscreteStatsTable[[#This Row],[RepsRequested]]&gt;1),DiscreteStatsTable[[#This Row],[HalfWidth]],DiscreteStatsTable[[#This Row],[BatchMeansHalfWidth]])</f>
        <v>1.4430125334647474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109</v>
      </c>
      <c r="C5">
        <v>4</v>
      </c>
      <c r="D5" t="s">
        <v>69</v>
      </c>
      <c r="E5" t="s">
        <v>70</v>
      </c>
      <c r="F5" t="s">
        <v>71</v>
      </c>
      <c r="G5">
        <v>91.599547820914594</v>
      </c>
      <c r="H5">
        <v>2E+20</v>
      </c>
      <c r="I5">
        <v>67.115988096593895</v>
      </c>
      <c r="J5">
        <v>105.063374930642</v>
      </c>
      <c r="K5">
        <v>36</v>
      </c>
      <c r="L5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91.693433633466768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1.1621602426681144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1.4430125334647474</v>
      </c>
      <c r="R5" cm="1">
        <f t="array" ref="R5">MIN(IF((DiscreteStatsTable[GroupByKey]=DiscreteStatsTable[[#This Row],[GroupByKey]]),(DiscreteStatsTable[GroupByKey]=DiscreteStatsTable[[#This Row],[GroupByKey]])*DiscreteStatsTable[Average]))</f>
        <v>90.333841384583394</v>
      </c>
      <c r="S5" cm="1">
        <f t="array" ref="S5">MAX(IF((DiscreteStatsTable[GroupByKey]=DiscreteStatsTable[[#This Row],[GroupByKey]]),(DiscreteStatsTable[GroupByKey]=DiscreteStatsTable[[#This Row],[GroupByKey]])*DiscreteStatsTable[Average]))</f>
        <v>93.099035860971398</v>
      </c>
      <c r="T5" cm="1">
        <f t="array" ref="T5">MIN(IF((DiscreteStatsTable[GroupByKey]=DiscreteStatsTable[[#This Row],[GroupByKey]]),(DiscreteStatsTable[GroupByKey]=DiscreteStatsTable[[#This Row],[GroupByKey]])*DiscreteStatsTable[Minimum]))</f>
        <v>51.393308356792801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111.77390802037399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34.6</v>
      </c>
      <c r="W5">
        <f>IF((DiscreteStatsTable[[#This Row],[RepsRequested]]&gt;1),DiscreteStatsTable[[#This Row],[HalfWidth]],DiscreteStatsTable[[#This Row],[BatchMeansHalfWidth]])</f>
        <v>1.4430125334647474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109</v>
      </c>
      <c r="C6">
        <v>5</v>
      </c>
      <c r="D6" t="s">
        <v>69</v>
      </c>
      <c r="E6" t="s">
        <v>70</v>
      </c>
      <c r="F6" t="s">
        <v>71</v>
      </c>
      <c r="G6">
        <v>90.831850116522205</v>
      </c>
      <c r="H6">
        <v>2E+20</v>
      </c>
      <c r="I6">
        <v>64.036560733564997</v>
      </c>
      <c r="J6">
        <v>111.77390802037399</v>
      </c>
      <c r="K6">
        <v>33</v>
      </c>
      <c r="L6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91.693433633466768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1.1621602426681144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1.4430125334647474</v>
      </c>
      <c r="R6" cm="1">
        <f t="array" ref="R6">MIN(IF((DiscreteStatsTable[GroupByKey]=DiscreteStatsTable[[#This Row],[GroupByKey]]),(DiscreteStatsTable[GroupByKey]=DiscreteStatsTable[[#This Row],[GroupByKey]])*DiscreteStatsTable[Average]))</f>
        <v>90.333841384583394</v>
      </c>
      <c r="S6" cm="1">
        <f t="array" ref="S6">MAX(IF((DiscreteStatsTable[GroupByKey]=DiscreteStatsTable[[#This Row],[GroupByKey]]),(DiscreteStatsTable[GroupByKey]=DiscreteStatsTable[[#This Row],[GroupByKey]])*DiscreteStatsTable[Average]))</f>
        <v>93.099035860971398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51.393308356792801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111.77390802037399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34.6</v>
      </c>
      <c r="W6">
        <f>IF((DiscreteStatsTable[[#This Row],[RepsRequested]]&gt;1),DiscreteStatsTable[[#This Row],[HalfWidth]],DiscreteStatsTable[[#This Row],[BatchMeansHalfWidth]])</f>
        <v>1.4430125334647474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109</v>
      </c>
      <c r="C7">
        <v>1</v>
      </c>
      <c r="D7" t="s">
        <v>72</v>
      </c>
      <c r="E7" t="s">
        <v>70</v>
      </c>
      <c r="F7" t="s">
        <v>71</v>
      </c>
      <c r="G7">
        <v>94.427138243400094</v>
      </c>
      <c r="H7">
        <v>2E+20</v>
      </c>
      <c r="I7">
        <v>78.2913738404594</v>
      </c>
      <c r="J7">
        <v>106.822242739091</v>
      </c>
      <c r="K7">
        <v>35</v>
      </c>
      <c r="L7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91.191083332163188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2.7525071056604564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3.4176889778986324</v>
      </c>
      <c r="R7" cm="1">
        <f t="array" ref="R7">MIN(IF((DiscreteStatsTable[GroupByKey]=DiscreteStatsTable[[#This Row],[GroupByKey]]),(DiscreteStatsTable[GroupByKey]=DiscreteStatsTable[[#This Row],[GroupByKey]])*DiscreteStatsTable[Average]))</f>
        <v>87.049876470286605</v>
      </c>
      <c r="S7" cm="1">
        <f t="array" ref="S7">MAX(IF((DiscreteStatsTable[GroupByKey]=DiscreteStatsTable[[#This Row],[GroupByKey]]),(DiscreteStatsTable[GroupByKey]=DiscreteStatsTable[[#This Row],[GroupByKey]])*DiscreteStatsTable[Average]))</f>
        <v>94.427138243400094</v>
      </c>
      <c r="T7" cm="1">
        <f t="array" ref="T7">MIN(IF((DiscreteStatsTable[GroupByKey]=DiscreteStatsTable[[#This Row],[GroupByKey]]),(DiscreteStatsTable[GroupByKey]=DiscreteStatsTable[[#This Row],[GroupByKey]])*DiscreteStatsTable[Minimum]))</f>
        <v>63.102161136153001</v>
      </c>
      <c r="U7" cm="1">
        <f t="array" ref="U7">MAX(IF((DiscreteStatsTable[GroupByKey]=DiscreteStatsTable[[#This Row],[GroupByKey]]),(DiscreteStatsTable[GroupByKey]=DiscreteStatsTable[[#This Row],[GroupByKey]])*DiscreteStatsTable[Maximum]))</f>
        <v>106.822242739091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35.6</v>
      </c>
      <c r="W7">
        <f>IF((DiscreteStatsTable[[#This Row],[RepsRequested]]&gt;1),DiscreteStatsTable[[#This Row],[HalfWidth]],DiscreteStatsTable[[#This Row],[BatchMeansHalfWidth]])</f>
        <v>3.4176889778986324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109</v>
      </c>
      <c r="C8">
        <v>2</v>
      </c>
      <c r="D8" t="s">
        <v>72</v>
      </c>
      <c r="E8" t="s">
        <v>70</v>
      </c>
      <c r="F8" t="s">
        <v>71</v>
      </c>
      <c r="G8">
        <v>87.049876470286605</v>
      </c>
      <c r="H8">
        <v>2E+20</v>
      </c>
      <c r="I8">
        <v>64.853764806382301</v>
      </c>
      <c r="J8">
        <v>106.33063842971499</v>
      </c>
      <c r="K8">
        <v>38</v>
      </c>
      <c r="L8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91.191083332163188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2.7525071056604564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3.4176889778986324</v>
      </c>
      <c r="R8" cm="1">
        <f t="array" ref="R8">MIN(IF((DiscreteStatsTable[GroupByKey]=DiscreteStatsTable[[#This Row],[GroupByKey]]),(DiscreteStatsTable[GroupByKey]=DiscreteStatsTable[[#This Row],[GroupByKey]])*DiscreteStatsTable[Average]))</f>
        <v>87.049876470286605</v>
      </c>
      <c r="S8" cm="1">
        <f t="array" ref="S8">MAX(IF((DiscreteStatsTable[GroupByKey]=DiscreteStatsTable[[#This Row],[GroupByKey]]),(DiscreteStatsTable[GroupByKey]=DiscreteStatsTable[[#This Row],[GroupByKey]])*DiscreteStatsTable[Average]))</f>
        <v>94.427138243400094</v>
      </c>
      <c r="T8" cm="1">
        <f t="array" ref="T8">MIN(IF((DiscreteStatsTable[GroupByKey]=DiscreteStatsTable[[#This Row],[GroupByKey]]),(DiscreteStatsTable[GroupByKey]=DiscreteStatsTable[[#This Row],[GroupByKey]])*DiscreteStatsTable[Minimum]))</f>
        <v>63.102161136153001</v>
      </c>
      <c r="U8" cm="1">
        <f t="array" ref="U8">MAX(IF((DiscreteStatsTable[GroupByKey]=DiscreteStatsTable[[#This Row],[GroupByKey]]),(DiscreteStatsTable[GroupByKey]=DiscreteStatsTable[[#This Row],[GroupByKey]])*DiscreteStatsTable[Maximum]))</f>
        <v>106.822242739091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35.6</v>
      </c>
      <c r="W8">
        <f>IF((DiscreteStatsTable[[#This Row],[RepsRequested]]&gt;1),DiscreteStatsTable[[#This Row],[HalfWidth]],DiscreteStatsTable[[#This Row],[BatchMeansHalfWidth]])</f>
        <v>3.4176889778986324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109</v>
      </c>
      <c r="C9">
        <v>3</v>
      </c>
      <c r="D9" t="s">
        <v>72</v>
      </c>
      <c r="E9" t="s">
        <v>70</v>
      </c>
      <c r="F9" t="s">
        <v>71</v>
      </c>
      <c r="G9">
        <v>92.436024345192095</v>
      </c>
      <c r="H9">
        <v>2E+20</v>
      </c>
      <c r="I9">
        <v>76.502632714912906</v>
      </c>
      <c r="J9">
        <v>103.97621922251901</v>
      </c>
      <c r="K9">
        <v>29</v>
      </c>
      <c r="L9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91.191083332163188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2.7525071056604564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3.4176889778986324</v>
      </c>
      <c r="R9" cm="1">
        <f t="array" ref="R9">MIN(IF((DiscreteStatsTable[GroupByKey]=DiscreteStatsTable[[#This Row],[GroupByKey]]),(DiscreteStatsTable[GroupByKey]=DiscreteStatsTable[[#This Row],[GroupByKey]])*DiscreteStatsTable[Average]))</f>
        <v>87.049876470286605</v>
      </c>
      <c r="S9" cm="1">
        <f t="array" ref="S9">MAX(IF((DiscreteStatsTable[GroupByKey]=DiscreteStatsTable[[#This Row],[GroupByKey]]),(DiscreteStatsTable[GroupByKey]=DiscreteStatsTable[[#This Row],[GroupByKey]])*DiscreteStatsTable[Average]))</f>
        <v>94.427138243400094</v>
      </c>
      <c r="T9" cm="1">
        <f t="array" ref="T9">MIN(IF((DiscreteStatsTable[GroupByKey]=DiscreteStatsTable[[#This Row],[GroupByKey]]),(DiscreteStatsTable[GroupByKey]=DiscreteStatsTable[[#This Row],[GroupByKey]])*DiscreteStatsTable[Minimum]))</f>
        <v>63.102161136153001</v>
      </c>
      <c r="U9" cm="1">
        <f t="array" ref="U9">MAX(IF((DiscreteStatsTable[GroupByKey]=DiscreteStatsTable[[#This Row],[GroupByKey]]),(DiscreteStatsTable[GroupByKey]=DiscreteStatsTable[[#This Row],[GroupByKey]])*DiscreteStatsTable[Maximum]))</f>
        <v>106.822242739091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35.6</v>
      </c>
      <c r="W9">
        <f>IF((DiscreteStatsTable[[#This Row],[RepsRequested]]&gt;1),DiscreteStatsTable[[#This Row],[HalfWidth]],DiscreteStatsTable[[#This Row],[BatchMeansHalfWidth]])</f>
        <v>3.4176889778986324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109</v>
      </c>
      <c r="C10">
        <v>4</v>
      </c>
      <c r="D10" t="s">
        <v>72</v>
      </c>
      <c r="E10" t="s">
        <v>70</v>
      </c>
      <c r="F10" t="s">
        <v>71</v>
      </c>
      <c r="G10">
        <v>90.287728039894802</v>
      </c>
      <c r="H10">
        <v>2E+20</v>
      </c>
      <c r="I10">
        <v>63.102161136153001</v>
      </c>
      <c r="J10">
        <v>105.62317469327201</v>
      </c>
      <c r="K10">
        <v>39</v>
      </c>
      <c r="L10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91.191083332163188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2.7525071056604564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3.4176889778986324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87.049876470286605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94.427138243400094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63.102161136153001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106.822242739091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35.6</v>
      </c>
      <c r="W10">
        <f>IF((DiscreteStatsTable[[#This Row],[RepsRequested]]&gt;1),DiscreteStatsTable[[#This Row],[HalfWidth]],DiscreteStatsTable[[#This Row],[BatchMeansHalfWidth]])</f>
        <v>3.4176889778986324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109</v>
      </c>
      <c r="C11">
        <v>5</v>
      </c>
      <c r="D11" t="s">
        <v>72</v>
      </c>
      <c r="E11" t="s">
        <v>70</v>
      </c>
      <c r="F11" t="s">
        <v>71</v>
      </c>
      <c r="G11">
        <v>91.754649562042403</v>
      </c>
      <c r="H11">
        <v>2E+20</v>
      </c>
      <c r="I11">
        <v>68.3456387913009</v>
      </c>
      <c r="J11">
        <v>104.77149606740601</v>
      </c>
      <c r="K11">
        <v>37</v>
      </c>
      <c r="L11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91.191083332163188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2.7525071056604564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3.4176889778986324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87.049876470286605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94.427138243400094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63.102161136153001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106.822242739091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35.6</v>
      </c>
      <c r="W11">
        <f>IF((DiscreteStatsTable[[#This Row],[RepsRequested]]&gt;1),DiscreteStatsTable[[#This Row],[HalfWidth]],DiscreteStatsTable[[#This Row],[BatchMeansHalfWidth]])</f>
        <v>3.4176889778986324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109</v>
      </c>
      <c r="C12">
        <v>1</v>
      </c>
      <c r="D12" t="s">
        <v>73</v>
      </c>
      <c r="E12" t="s">
        <v>70</v>
      </c>
      <c r="F12" t="s">
        <v>71</v>
      </c>
      <c r="G12">
        <v>92.293457137832306</v>
      </c>
      <c r="H12">
        <v>2E+20</v>
      </c>
      <c r="I12">
        <v>65.856162867097396</v>
      </c>
      <c r="J12">
        <v>103.8385243562</v>
      </c>
      <c r="K12">
        <v>32</v>
      </c>
      <c r="L12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89.037725761683078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4.8162097110003694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5.9801142059485128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81.449666237786701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92.591564056300598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33.586070215684998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109.348355223756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33.799999999999997</v>
      </c>
      <c r="W12">
        <f>IF((DiscreteStatsTable[[#This Row],[RepsRequested]]&gt;1),DiscreteStatsTable[[#This Row],[HalfWidth]],DiscreteStatsTable[[#This Row],[BatchMeansHalfWidth]])</f>
        <v>5.9801142059485128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109</v>
      </c>
      <c r="C13">
        <v>2</v>
      </c>
      <c r="D13" t="s">
        <v>73</v>
      </c>
      <c r="E13" t="s">
        <v>70</v>
      </c>
      <c r="F13" t="s">
        <v>71</v>
      </c>
      <c r="G13">
        <v>81.449666237786701</v>
      </c>
      <c r="H13">
        <v>2E+20</v>
      </c>
      <c r="I13">
        <v>33.586070215684998</v>
      </c>
      <c r="J13">
        <v>104.494555176844</v>
      </c>
      <c r="K13">
        <v>36</v>
      </c>
      <c r="L13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89.037725761683078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4.8162097110003694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5.9801142059485128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81.449666237786701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92.591564056300598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33.586070215684998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109.348355223756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33.799999999999997</v>
      </c>
      <c r="W13">
        <f>IF((DiscreteStatsTable[[#This Row],[RepsRequested]]&gt;1),DiscreteStatsTable[[#This Row],[HalfWidth]],DiscreteStatsTable[[#This Row],[BatchMeansHalfWidth]])</f>
        <v>5.9801142059485128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109</v>
      </c>
      <c r="C14">
        <v>3</v>
      </c>
      <c r="D14" t="s">
        <v>73</v>
      </c>
      <c r="E14" t="s">
        <v>70</v>
      </c>
      <c r="F14" t="s">
        <v>71</v>
      </c>
      <c r="G14">
        <v>92.591564056300598</v>
      </c>
      <c r="H14">
        <v>2E+20</v>
      </c>
      <c r="I14">
        <v>70.477072833416699</v>
      </c>
      <c r="J14">
        <v>109.348355223756</v>
      </c>
      <c r="K14">
        <v>33</v>
      </c>
      <c r="L14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89.037725761683078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4.8162097110003694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5.9801142059485128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81.449666237786701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92.591564056300598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33.586070215684998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109.348355223756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33.799999999999997</v>
      </c>
      <c r="W14">
        <f>IF((DiscreteStatsTable[[#This Row],[RepsRequested]]&gt;1),DiscreteStatsTable[[#This Row],[HalfWidth]],DiscreteStatsTable[[#This Row],[BatchMeansHalfWidth]])</f>
        <v>5.9801142059485128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109</v>
      </c>
      <c r="C15">
        <v>4</v>
      </c>
      <c r="D15" t="s">
        <v>73</v>
      </c>
      <c r="E15" t="s">
        <v>70</v>
      </c>
      <c r="F15" t="s">
        <v>71</v>
      </c>
      <c r="G15">
        <v>87.011160271483206</v>
      </c>
      <c r="H15">
        <v>2E+20</v>
      </c>
      <c r="I15">
        <v>63.666446351682097</v>
      </c>
      <c r="J15">
        <v>101.195978443705</v>
      </c>
      <c r="K15">
        <v>33</v>
      </c>
      <c r="L15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89.037725761683078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4.8162097110003694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5.9801142059485128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81.449666237786701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92.591564056300598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33.586070215684998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109.348355223756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33.799999999999997</v>
      </c>
      <c r="W15">
        <f>IF((DiscreteStatsTable[[#This Row],[RepsRequested]]&gt;1),DiscreteStatsTable[[#This Row],[HalfWidth]],DiscreteStatsTable[[#This Row],[BatchMeansHalfWidth]])</f>
        <v>5.9801142059485128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109</v>
      </c>
      <c r="C16">
        <v>5</v>
      </c>
      <c r="D16" t="s">
        <v>73</v>
      </c>
      <c r="E16" t="s">
        <v>70</v>
      </c>
      <c r="F16" t="s">
        <v>71</v>
      </c>
      <c r="G16">
        <v>91.842781105012506</v>
      </c>
      <c r="H16">
        <v>2E+20</v>
      </c>
      <c r="I16">
        <v>58.248739461726899</v>
      </c>
      <c r="J16">
        <v>106.407038597303</v>
      </c>
      <c r="K16">
        <v>35</v>
      </c>
      <c r="L16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89.037725761683078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4.8162097110003694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5.9801142059485128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81.449666237786701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92.591564056300598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33.586070215684998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109.348355223756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33.799999999999997</v>
      </c>
      <c r="W16">
        <f>IF((DiscreteStatsTable[[#This Row],[RepsRequested]]&gt;1),DiscreteStatsTable[[#This Row],[HalfWidth]],DiscreteStatsTable[[#This Row],[BatchMeansHalfWidth]])</f>
        <v>5.9801142059485128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109</v>
      </c>
      <c r="C17">
        <v>1</v>
      </c>
      <c r="D17" t="s">
        <v>74</v>
      </c>
      <c r="E17" t="s">
        <v>70</v>
      </c>
      <c r="F17" t="s">
        <v>71</v>
      </c>
      <c r="G17">
        <v>91.535300249485502</v>
      </c>
      <c r="H17">
        <v>2E+20</v>
      </c>
      <c r="I17">
        <v>63.322099932374897</v>
      </c>
      <c r="J17">
        <v>105.79277196110399</v>
      </c>
      <c r="K17">
        <v>37</v>
      </c>
      <c r="L17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90.799126839777585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0.85948648108408798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1.0671934205049525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89.516859378217006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91.649029187166505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47.084639463362301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109.068187341166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32</v>
      </c>
      <c r="W17">
        <f>IF((DiscreteStatsTable[[#This Row],[RepsRequested]]&gt;1),DiscreteStatsTable[[#This Row],[HalfWidth]],DiscreteStatsTable[[#This Row],[BatchMeansHalfWidth]])</f>
        <v>1.0671934205049525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109</v>
      </c>
      <c r="C18">
        <v>2</v>
      </c>
      <c r="D18" t="s">
        <v>74</v>
      </c>
      <c r="E18" t="s">
        <v>70</v>
      </c>
      <c r="F18" t="s">
        <v>71</v>
      </c>
      <c r="G18">
        <v>90.657786124494194</v>
      </c>
      <c r="H18">
        <v>2E+20</v>
      </c>
      <c r="I18">
        <v>47.084639463362301</v>
      </c>
      <c r="J18">
        <v>109.068187341166</v>
      </c>
      <c r="K18">
        <v>27</v>
      </c>
      <c r="L18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90.799126839777585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0.85948648108408798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1.0671934205049525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89.516859378217006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91.649029187166505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47.084639463362301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109.068187341166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32</v>
      </c>
      <c r="W18">
        <f>IF((DiscreteStatsTable[[#This Row],[RepsRequested]]&gt;1),DiscreteStatsTable[[#This Row],[HalfWidth]],DiscreteStatsTable[[#This Row],[BatchMeansHalfWidth]])</f>
        <v>1.0671934205049525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109</v>
      </c>
      <c r="C19">
        <v>3</v>
      </c>
      <c r="D19" t="s">
        <v>74</v>
      </c>
      <c r="E19" t="s">
        <v>70</v>
      </c>
      <c r="F19" t="s">
        <v>71</v>
      </c>
      <c r="G19">
        <v>90.636659259524706</v>
      </c>
      <c r="H19">
        <v>2E+20</v>
      </c>
      <c r="I19">
        <v>70.735094559953794</v>
      </c>
      <c r="J19">
        <v>108.710754485233</v>
      </c>
      <c r="K19">
        <v>36</v>
      </c>
      <c r="L19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90.799126839777585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0.85948648108408798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1.0671934205049525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89.516859378217006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91.649029187166505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47.084639463362301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109.068187341166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32</v>
      </c>
      <c r="W19">
        <f>IF((DiscreteStatsTable[[#This Row],[RepsRequested]]&gt;1),DiscreteStatsTable[[#This Row],[HalfWidth]],DiscreteStatsTable[[#This Row],[BatchMeansHalfWidth]])</f>
        <v>1.0671934205049525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109</v>
      </c>
      <c r="C20">
        <v>4</v>
      </c>
      <c r="D20" t="s">
        <v>74</v>
      </c>
      <c r="E20" t="s">
        <v>70</v>
      </c>
      <c r="F20" t="s">
        <v>71</v>
      </c>
      <c r="G20">
        <v>89.516859378217006</v>
      </c>
      <c r="H20">
        <v>2E+20</v>
      </c>
      <c r="I20">
        <v>57.695433409863902</v>
      </c>
      <c r="J20">
        <v>104.265511825085</v>
      </c>
      <c r="K20">
        <v>29</v>
      </c>
      <c r="L20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90.799126839777585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0.85948648108408798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1.0671934205049525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89.516859378217006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91.649029187166505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47.084639463362301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109.068187341166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32</v>
      </c>
      <c r="W20">
        <f>IF((DiscreteStatsTable[[#This Row],[RepsRequested]]&gt;1),DiscreteStatsTable[[#This Row],[HalfWidth]],DiscreteStatsTable[[#This Row],[BatchMeansHalfWidth]])</f>
        <v>1.0671934205049525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109</v>
      </c>
      <c r="C21">
        <v>5</v>
      </c>
      <c r="D21" t="s">
        <v>74</v>
      </c>
      <c r="E21" t="s">
        <v>70</v>
      </c>
      <c r="F21" t="s">
        <v>71</v>
      </c>
      <c r="G21">
        <v>91.649029187166505</v>
      </c>
      <c r="H21">
        <v>2E+20</v>
      </c>
      <c r="I21">
        <v>66.546086456022294</v>
      </c>
      <c r="J21">
        <v>107.59965587892501</v>
      </c>
      <c r="K21">
        <v>31</v>
      </c>
      <c r="L21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90.799126839777585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0.85948648108408798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1.0671934205049525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89.516859378217006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91.649029187166505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47.084639463362301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109.068187341166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32</v>
      </c>
      <c r="W21">
        <f>IF((DiscreteStatsTable[[#This Row],[RepsRequested]]&gt;1),DiscreteStatsTable[[#This Row],[HalfWidth]],DiscreteStatsTable[[#This Row],[BatchMeansHalfWidth]])</f>
        <v>1.0671934205049525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109</v>
      </c>
      <c r="C22">
        <v>1</v>
      </c>
      <c r="D22" t="s">
        <v>75</v>
      </c>
      <c r="E22" t="s">
        <v>76</v>
      </c>
      <c r="F22" t="s">
        <v>77</v>
      </c>
      <c r="G22">
        <v>0</v>
      </c>
      <c r="H22">
        <v>2E+20</v>
      </c>
      <c r="I22">
        <v>0</v>
      </c>
      <c r="J22">
        <v>0</v>
      </c>
      <c r="K22">
        <v>233</v>
      </c>
      <c r="L22" t="str">
        <f>DiscreteStatsTable[[#This Row],[ProjectName]]&amp;DiscreteStatsTable[[#This Row],[Name]]&amp;DiscreteStatsTable[[#This Row],[Type]]&amp;DiscreteStatsTable[[#This Row],[Source]]</f>
        <v>Unnamed ProjectPartNVA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256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109</v>
      </c>
      <c r="C23">
        <v>1</v>
      </c>
      <c r="D23" t="s">
        <v>75</v>
      </c>
      <c r="E23" t="s">
        <v>78</v>
      </c>
      <c r="F23" t="s">
        <v>77</v>
      </c>
      <c r="G23">
        <v>0</v>
      </c>
      <c r="H23">
        <v>2E+20</v>
      </c>
      <c r="I23">
        <v>0</v>
      </c>
      <c r="J23">
        <v>0</v>
      </c>
      <c r="K23">
        <v>233</v>
      </c>
      <c r="L23" t="str">
        <f>DiscreteStatsTable[[#This Row],[ProjectName]]&amp;DiscreteStatsTable[[#This Row],[Name]]&amp;DiscreteStatsTable[[#This Row],[Type]]&amp;DiscreteStatsTable[[#This Row],[Source]]</f>
        <v>Unnamed ProjectPartOther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256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109</v>
      </c>
      <c r="C24">
        <v>1</v>
      </c>
      <c r="D24" t="s">
        <v>75</v>
      </c>
      <c r="E24" t="s">
        <v>79</v>
      </c>
      <c r="F24" t="s">
        <v>77</v>
      </c>
      <c r="G24">
        <v>60.441273086848902</v>
      </c>
      <c r="H24">
        <v>2E+20</v>
      </c>
      <c r="I24">
        <v>0</v>
      </c>
      <c r="J24">
        <v>335.59840125437103</v>
      </c>
      <c r="K24">
        <v>233</v>
      </c>
      <c r="L24" t="str">
        <f>DiscreteStatsTable[[#This Row],[ProjectName]]&amp;DiscreteStatsTable[[#This Row],[Name]]&amp;DiscreteStatsTable[[#This Row],[Type]]&amp;DiscreteStatsTable[[#This Row],[Source]]</f>
        <v>Unnamed ProjectPartTotal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55.288848927915112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5.0938038463521353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6.3247928499273032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47.607660595137602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60.441273086848902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335.59840125437103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256</v>
      </c>
      <c r="W24">
        <f>IF((DiscreteStatsTable[[#This Row],[RepsRequested]]&gt;1),DiscreteStatsTable[[#This Row],[HalfWidth]],DiscreteStatsTable[[#This Row],[BatchMeansHalfWidth]])</f>
        <v>6.3247928499273032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109</v>
      </c>
      <c r="C25">
        <v>1</v>
      </c>
      <c r="D25" t="s">
        <v>75</v>
      </c>
      <c r="E25" t="s">
        <v>80</v>
      </c>
      <c r="F25" t="s">
        <v>77</v>
      </c>
      <c r="G25">
        <v>0</v>
      </c>
      <c r="H25">
        <v>2E+20</v>
      </c>
      <c r="I25">
        <v>0</v>
      </c>
      <c r="J25">
        <v>0</v>
      </c>
      <c r="K25">
        <v>233</v>
      </c>
      <c r="L2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256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109</v>
      </c>
      <c r="C26">
        <v>1</v>
      </c>
      <c r="D26" t="s">
        <v>75</v>
      </c>
      <c r="E26" t="s">
        <v>81</v>
      </c>
      <c r="F26" t="s">
        <v>77</v>
      </c>
      <c r="G26">
        <v>8.0408473428622198</v>
      </c>
      <c r="H26">
        <v>2E+20</v>
      </c>
      <c r="I26">
        <v>0</v>
      </c>
      <c r="J26">
        <v>43.848221005228901</v>
      </c>
      <c r="K26">
        <v>233</v>
      </c>
      <c r="L26" t="str">
        <f>DiscreteStatsTable[[#This Row],[ProjectName]]&amp;DiscreteStatsTable[[#This Row],[Name]]&amp;DiscreteStatsTable[[#This Row],[Type]]&amp;DiscreteStatsTable[[#This Row],[Source]]</f>
        <v>Unnamed ProjectPartVA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7.3855923773434755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0.57630712394330419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0.71557980770875518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6.5519833180988396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8.0408473428622198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43.848221005228901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256</v>
      </c>
      <c r="W26">
        <f>IF((DiscreteStatsTable[[#This Row],[RepsRequested]]&gt;1),DiscreteStatsTable[[#This Row],[HalfWidth]],DiscreteStatsTable[[#This Row],[BatchMeansHalfWidth]])</f>
        <v>0.71557980770875518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109</v>
      </c>
      <c r="C27">
        <v>1</v>
      </c>
      <c r="D27" t="s">
        <v>75</v>
      </c>
      <c r="E27" t="s">
        <v>82</v>
      </c>
      <c r="F27" t="s">
        <v>77</v>
      </c>
      <c r="G27">
        <v>52.400425743986602</v>
      </c>
      <c r="H27">
        <v>2E+20</v>
      </c>
      <c r="I27">
        <v>0</v>
      </c>
      <c r="J27">
        <v>291.75018024914198</v>
      </c>
      <c r="K27">
        <v>233</v>
      </c>
      <c r="L27" t="str">
        <f>DiscreteStatsTable[[#This Row],[ProjectName]]&amp;DiscreteStatsTable[[#This Row],[Name]]&amp;DiscreteStatsTable[[#This Row],[Type]]&amp;DiscreteStatsTable[[#This Row],[Source]]</f>
        <v>Unnamed ProjectPartWait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47.903256550571641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4.5200867681778671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5.6124290088036606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41.055677277038797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52.400425743986602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291.75018024914198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256</v>
      </c>
      <c r="W27">
        <f>IF((DiscreteStatsTable[[#This Row],[RepsRequested]]&gt;1),DiscreteStatsTable[[#This Row],[HalfWidth]],DiscreteStatsTable[[#This Row],[BatchMeansHalfWidth]])</f>
        <v>5.6124290088036606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109</v>
      </c>
      <c r="C28">
        <v>2</v>
      </c>
      <c r="D28" t="s">
        <v>75</v>
      </c>
      <c r="E28" t="s">
        <v>76</v>
      </c>
      <c r="F28" t="s">
        <v>77</v>
      </c>
      <c r="G28">
        <v>0</v>
      </c>
      <c r="H28">
        <v>2E+20</v>
      </c>
      <c r="I28">
        <v>0</v>
      </c>
      <c r="J28">
        <v>0</v>
      </c>
      <c r="K28">
        <v>281</v>
      </c>
      <c r="L28" t="str">
        <f>DiscreteStatsTable[[#This Row],[ProjectName]]&amp;DiscreteStatsTable[[#This Row],[Name]]&amp;DiscreteStatsTable[[#This Row],[Type]]&amp;DiscreteStatsTable[[#This Row],[Source]]</f>
        <v>Unnamed ProjectPartNVA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256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109</v>
      </c>
      <c r="C29">
        <v>2</v>
      </c>
      <c r="D29" t="s">
        <v>75</v>
      </c>
      <c r="E29" t="s">
        <v>78</v>
      </c>
      <c r="F29" t="s">
        <v>77</v>
      </c>
      <c r="G29">
        <v>0</v>
      </c>
      <c r="H29">
        <v>2E+20</v>
      </c>
      <c r="I29">
        <v>0</v>
      </c>
      <c r="J29">
        <v>0</v>
      </c>
      <c r="K29">
        <v>281</v>
      </c>
      <c r="L29" t="str">
        <f>DiscreteStatsTable[[#This Row],[ProjectName]]&amp;DiscreteStatsTable[[#This Row],[Name]]&amp;DiscreteStatsTable[[#This Row],[Type]]&amp;DiscreteStatsTable[[#This Row],[Source]]</f>
        <v>Unnamed ProjectPartOther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256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109</v>
      </c>
      <c r="C30">
        <v>2</v>
      </c>
      <c r="D30" t="s">
        <v>75</v>
      </c>
      <c r="E30" t="s">
        <v>79</v>
      </c>
      <c r="F30" t="s">
        <v>77</v>
      </c>
      <c r="G30">
        <v>47.607660595137602</v>
      </c>
      <c r="H30">
        <v>2E+20</v>
      </c>
      <c r="I30">
        <v>0</v>
      </c>
      <c r="J30">
        <v>275.34612613290199</v>
      </c>
      <c r="K30">
        <v>281</v>
      </c>
      <c r="L30" t="str">
        <f>DiscreteStatsTable[[#This Row],[ProjectName]]&amp;DiscreteStatsTable[[#This Row],[Name]]&amp;DiscreteStatsTable[[#This Row],[Type]]&amp;DiscreteStatsTable[[#This Row],[Source]]</f>
        <v>Unnamed ProjectPartTotal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55.288848927915112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5.0938038463521353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6.3247928499273032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47.607660595137602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60.441273086848902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335.59840125437103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256</v>
      </c>
      <c r="W30">
        <f>IF((DiscreteStatsTable[[#This Row],[RepsRequested]]&gt;1),DiscreteStatsTable[[#This Row],[HalfWidth]],DiscreteStatsTable[[#This Row],[BatchMeansHalfWidth]])</f>
        <v>6.3247928499273032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109</v>
      </c>
      <c r="C31">
        <v>2</v>
      </c>
      <c r="D31" t="s">
        <v>75</v>
      </c>
      <c r="E31" t="s">
        <v>80</v>
      </c>
      <c r="F31" t="s">
        <v>77</v>
      </c>
      <c r="G31">
        <v>0</v>
      </c>
      <c r="H31">
        <v>2E+20</v>
      </c>
      <c r="I31">
        <v>0</v>
      </c>
      <c r="J31">
        <v>0</v>
      </c>
      <c r="K31">
        <v>281</v>
      </c>
      <c r="L3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256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109</v>
      </c>
      <c r="C32">
        <v>2</v>
      </c>
      <c r="D32" t="s">
        <v>75</v>
      </c>
      <c r="E32" t="s">
        <v>81</v>
      </c>
      <c r="F32" t="s">
        <v>77</v>
      </c>
      <c r="G32">
        <v>6.5519833180988396</v>
      </c>
      <c r="H32">
        <v>2E+20</v>
      </c>
      <c r="I32">
        <v>0</v>
      </c>
      <c r="J32">
        <v>42.231973773371102</v>
      </c>
      <c r="K32">
        <v>281</v>
      </c>
      <c r="L32" t="str">
        <f>DiscreteStatsTable[[#This Row],[ProjectName]]&amp;DiscreteStatsTable[[#This Row],[Name]]&amp;DiscreteStatsTable[[#This Row],[Type]]&amp;DiscreteStatsTable[[#This Row],[Source]]</f>
        <v>Unnamed ProjectPartVA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7.3855923773434755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0.57630712394330419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0.71557980770875518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6.5519833180988396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8.0408473428622198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43.848221005228901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256</v>
      </c>
      <c r="W32">
        <f>IF((DiscreteStatsTable[[#This Row],[RepsRequested]]&gt;1),DiscreteStatsTable[[#This Row],[HalfWidth]],DiscreteStatsTable[[#This Row],[BatchMeansHalfWidth]])</f>
        <v>0.71557980770875518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109</v>
      </c>
      <c r="C33">
        <v>2</v>
      </c>
      <c r="D33" t="s">
        <v>75</v>
      </c>
      <c r="E33" t="s">
        <v>82</v>
      </c>
      <c r="F33" t="s">
        <v>77</v>
      </c>
      <c r="G33">
        <v>41.055677277038797</v>
      </c>
      <c r="H33">
        <v>2E+20</v>
      </c>
      <c r="I33">
        <v>0</v>
      </c>
      <c r="J33">
        <v>233.114152359531</v>
      </c>
      <c r="K33">
        <v>281</v>
      </c>
      <c r="L33" t="str">
        <f>DiscreteStatsTable[[#This Row],[ProjectName]]&amp;DiscreteStatsTable[[#This Row],[Name]]&amp;DiscreteStatsTable[[#This Row],[Type]]&amp;DiscreteStatsTable[[#This Row],[Source]]</f>
        <v>Unnamed ProjectPartWait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47.903256550571641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4.5200867681778671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5.6124290088036606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41.055677277038797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52.400425743986602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291.75018024914198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256</v>
      </c>
      <c r="W33">
        <f>IF((DiscreteStatsTable[[#This Row],[RepsRequested]]&gt;1),DiscreteStatsTable[[#This Row],[HalfWidth]],DiscreteStatsTable[[#This Row],[BatchMeansHalfWidth]])</f>
        <v>5.6124290088036606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109</v>
      </c>
      <c r="C34">
        <v>3</v>
      </c>
      <c r="D34" t="s">
        <v>75</v>
      </c>
      <c r="E34" t="s">
        <v>76</v>
      </c>
      <c r="F34" t="s">
        <v>77</v>
      </c>
      <c r="G34">
        <v>0</v>
      </c>
      <c r="H34">
        <v>2E+20</v>
      </c>
      <c r="I34">
        <v>0</v>
      </c>
      <c r="J34">
        <v>0</v>
      </c>
      <c r="K34">
        <v>245</v>
      </c>
      <c r="L34" t="str">
        <f>DiscreteStatsTable[[#This Row],[ProjectName]]&amp;DiscreteStatsTable[[#This Row],[Name]]&amp;DiscreteStatsTable[[#This Row],[Type]]&amp;DiscreteStatsTable[[#This Row],[Source]]</f>
        <v>Unnamed ProjectPartNVA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256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109</v>
      </c>
      <c r="C35">
        <v>3</v>
      </c>
      <c r="D35" t="s">
        <v>75</v>
      </c>
      <c r="E35" t="s">
        <v>78</v>
      </c>
      <c r="F35" t="s">
        <v>77</v>
      </c>
      <c r="G35">
        <v>0</v>
      </c>
      <c r="H35">
        <v>2E+20</v>
      </c>
      <c r="I35">
        <v>0</v>
      </c>
      <c r="J35">
        <v>0</v>
      </c>
      <c r="K35">
        <v>245</v>
      </c>
      <c r="L35" t="str">
        <f>DiscreteStatsTable[[#This Row],[ProjectName]]&amp;DiscreteStatsTable[[#This Row],[Name]]&amp;DiscreteStatsTable[[#This Row],[Type]]&amp;DiscreteStatsTable[[#This Row],[Source]]</f>
        <v>Unnamed ProjectPartOther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256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109</v>
      </c>
      <c r="C36">
        <v>3</v>
      </c>
      <c r="D36" t="s">
        <v>75</v>
      </c>
      <c r="E36" t="s">
        <v>79</v>
      </c>
      <c r="F36" t="s">
        <v>77</v>
      </c>
      <c r="G36">
        <v>59.090700654689797</v>
      </c>
      <c r="H36">
        <v>2E+20</v>
      </c>
      <c r="I36">
        <v>0</v>
      </c>
      <c r="J36">
        <v>226.48715991354999</v>
      </c>
      <c r="K36">
        <v>245</v>
      </c>
      <c r="L36" t="str">
        <f>DiscreteStatsTable[[#This Row],[ProjectName]]&amp;DiscreteStatsTable[[#This Row],[Name]]&amp;DiscreteStatsTable[[#This Row],[Type]]&amp;DiscreteStatsTable[[#This Row],[Source]]</f>
        <v>Unnamed ProjectPartTotal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55.288848927915112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5.0938038463521353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6.3247928499273032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47.607660595137602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60.441273086848902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335.59840125437103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256</v>
      </c>
      <c r="W36">
        <f>IF((DiscreteStatsTable[[#This Row],[RepsRequested]]&gt;1),DiscreteStatsTable[[#This Row],[HalfWidth]],DiscreteStatsTable[[#This Row],[BatchMeansHalfWidth]])</f>
        <v>6.3247928499273032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109</v>
      </c>
      <c r="C37">
        <v>3</v>
      </c>
      <c r="D37" t="s">
        <v>75</v>
      </c>
      <c r="E37" t="s">
        <v>80</v>
      </c>
      <c r="F37" t="s">
        <v>77</v>
      </c>
      <c r="G37">
        <v>0</v>
      </c>
      <c r="H37">
        <v>2E+20</v>
      </c>
      <c r="I37">
        <v>0</v>
      </c>
      <c r="J37">
        <v>0</v>
      </c>
      <c r="K37">
        <v>245</v>
      </c>
      <c r="L3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256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109</v>
      </c>
      <c r="C38">
        <v>3</v>
      </c>
      <c r="D38" t="s">
        <v>75</v>
      </c>
      <c r="E38" t="s">
        <v>81</v>
      </c>
      <c r="F38" t="s">
        <v>77</v>
      </c>
      <c r="G38">
        <v>7.7716875909990204</v>
      </c>
      <c r="H38">
        <v>2E+20</v>
      </c>
      <c r="I38">
        <v>0</v>
      </c>
      <c r="J38">
        <v>32.965644161420002</v>
      </c>
      <c r="K38">
        <v>245</v>
      </c>
      <c r="L38" t="str">
        <f>DiscreteStatsTable[[#This Row],[ProjectName]]&amp;DiscreteStatsTable[[#This Row],[Name]]&amp;DiscreteStatsTable[[#This Row],[Type]]&amp;DiscreteStatsTable[[#This Row],[Source]]</f>
        <v>Unnamed ProjectPartVA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7.3855923773434755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0.57630712394330419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0.71557980770875518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6.5519833180988396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8.0408473428622198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43.848221005228901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256</v>
      </c>
      <c r="W38">
        <f>IF((DiscreteStatsTable[[#This Row],[RepsRequested]]&gt;1),DiscreteStatsTable[[#This Row],[HalfWidth]],DiscreteStatsTable[[#This Row],[BatchMeansHalfWidth]])</f>
        <v>0.71557980770875518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109</v>
      </c>
      <c r="C39">
        <v>3</v>
      </c>
      <c r="D39" t="s">
        <v>75</v>
      </c>
      <c r="E39" t="s">
        <v>82</v>
      </c>
      <c r="F39" t="s">
        <v>77</v>
      </c>
      <c r="G39">
        <v>51.319013063690797</v>
      </c>
      <c r="H39">
        <v>2E+20</v>
      </c>
      <c r="I39">
        <v>0</v>
      </c>
      <c r="J39">
        <v>197.02608687833501</v>
      </c>
      <c r="K39">
        <v>245</v>
      </c>
      <c r="L39" t="str">
        <f>DiscreteStatsTable[[#This Row],[ProjectName]]&amp;DiscreteStatsTable[[#This Row],[Name]]&amp;DiscreteStatsTable[[#This Row],[Type]]&amp;DiscreteStatsTable[[#This Row],[Source]]</f>
        <v>Unnamed ProjectPartWait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47.903256550571641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4.5200867681778671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5.6124290088036606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41.055677277038797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52.400425743986602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291.75018024914198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256</v>
      </c>
      <c r="W39">
        <f>IF((DiscreteStatsTable[[#This Row],[RepsRequested]]&gt;1),DiscreteStatsTable[[#This Row],[HalfWidth]],DiscreteStatsTable[[#This Row],[BatchMeansHalfWidth]])</f>
        <v>5.6124290088036606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109</v>
      </c>
      <c r="C40">
        <v>4</v>
      </c>
      <c r="D40" t="s">
        <v>75</v>
      </c>
      <c r="E40" t="s">
        <v>76</v>
      </c>
      <c r="F40" t="s">
        <v>77</v>
      </c>
      <c r="G40">
        <v>0</v>
      </c>
      <c r="H40">
        <v>2E+20</v>
      </c>
      <c r="I40">
        <v>0</v>
      </c>
      <c r="J40">
        <v>0</v>
      </c>
      <c r="K40">
        <v>267</v>
      </c>
      <c r="L40" t="str">
        <f>DiscreteStatsTable[[#This Row],[ProjectName]]&amp;DiscreteStatsTable[[#This Row],[Name]]&amp;DiscreteStatsTable[[#This Row],[Type]]&amp;DiscreteStatsTable[[#This Row],[Source]]</f>
        <v>Unnamed ProjectPartNVA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256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109</v>
      </c>
      <c r="C41">
        <v>4</v>
      </c>
      <c r="D41" t="s">
        <v>75</v>
      </c>
      <c r="E41" t="s">
        <v>78</v>
      </c>
      <c r="F41" t="s">
        <v>77</v>
      </c>
      <c r="G41">
        <v>0</v>
      </c>
      <c r="H41">
        <v>2E+20</v>
      </c>
      <c r="I41">
        <v>0</v>
      </c>
      <c r="J41">
        <v>0</v>
      </c>
      <c r="K41">
        <v>267</v>
      </c>
      <c r="L41" t="str">
        <f>DiscreteStatsTable[[#This Row],[ProjectName]]&amp;DiscreteStatsTable[[#This Row],[Name]]&amp;DiscreteStatsTable[[#This Row],[Type]]&amp;DiscreteStatsTable[[#This Row],[Source]]</f>
        <v>Unnamed ProjectPartOther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256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109</v>
      </c>
      <c r="C42">
        <v>4</v>
      </c>
      <c r="D42" t="s">
        <v>75</v>
      </c>
      <c r="E42" t="s">
        <v>79</v>
      </c>
      <c r="F42" t="s">
        <v>77</v>
      </c>
      <c r="G42">
        <v>53.432721396188903</v>
      </c>
      <c r="H42">
        <v>2E+20</v>
      </c>
      <c r="I42">
        <v>0</v>
      </c>
      <c r="J42">
        <v>321.26441570447099</v>
      </c>
      <c r="K42">
        <v>267</v>
      </c>
      <c r="L42" t="str">
        <f>DiscreteStatsTable[[#This Row],[ProjectName]]&amp;DiscreteStatsTable[[#This Row],[Name]]&amp;DiscreteStatsTable[[#This Row],[Type]]&amp;DiscreteStatsTable[[#This Row],[Source]]</f>
        <v>Unnamed ProjectPartTotal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55.288848927915112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5.0938038463521353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6.3247928499273032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47.607660595137602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60.441273086848902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335.59840125437103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256</v>
      </c>
      <c r="W42">
        <f>IF((DiscreteStatsTable[[#This Row],[RepsRequested]]&gt;1),DiscreteStatsTable[[#This Row],[HalfWidth]],DiscreteStatsTable[[#This Row],[BatchMeansHalfWidth]])</f>
        <v>6.3247928499273032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109</v>
      </c>
      <c r="C43">
        <v>4</v>
      </c>
      <c r="D43" t="s">
        <v>75</v>
      </c>
      <c r="E43" t="s">
        <v>80</v>
      </c>
      <c r="F43" t="s">
        <v>77</v>
      </c>
      <c r="G43">
        <v>0</v>
      </c>
      <c r="H43">
        <v>2E+20</v>
      </c>
      <c r="I43">
        <v>0</v>
      </c>
      <c r="J43">
        <v>0</v>
      </c>
      <c r="K43">
        <v>267</v>
      </c>
      <c r="L4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256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109</v>
      </c>
      <c r="C44">
        <v>4</v>
      </c>
      <c r="D44" t="s">
        <v>75</v>
      </c>
      <c r="E44" t="s">
        <v>81</v>
      </c>
      <c r="F44" t="s">
        <v>77</v>
      </c>
      <c r="G44">
        <v>7.15209008808952</v>
      </c>
      <c r="H44">
        <v>2E+20</v>
      </c>
      <c r="I44">
        <v>0</v>
      </c>
      <c r="J44">
        <v>35.680046420751303</v>
      </c>
      <c r="K44">
        <v>267</v>
      </c>
      <c r="L44" t="str">
        <f>DiscreteStatsTable[[#This Row],[ProjectName]]&amp;DiscreteStatsTable[[#This Row],[Name]]&amp;DiscreteStatsTable[[#This Row],[Type]]&amp;DiscreteStatsTable[[#This Row],[Source]]</f>
        <v>Unnamed ProjectPartVA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7.3855923773434755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0.57630712394330419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0.71557980770875518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6.5519833180988396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8.0408473428622198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43.848221005228901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256</v>
      </c>
      <c r="W44">
        <f>IF((DiscreteStatsTable[[#This Row],[RepsRequested]]&gt;1),DiscreteStatsTable[[#This Row],[HalfWidth]],DiscreteStatsTable[[#This Row],[BatchMeansHalfWidth]])</f>
        <v>0.71557980770875518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109</v>
      </c>
      <c r="C45">
        <v>4</v>
      </c>
      <c r="D45" t="s">
        <v>75</v>
      </c>
      <c r="E45" t="s">
        <v>82</v>
      </c>
      <c r="F45" t="s">
        <v>77</v>
      </c>
      <c r="G45">
        <v>46.280631308099402</v>
      </c>
      <c r="H45">
        <v>2E+20</v>
      </c>
      <c r="I45">
        <v>0</v>
      </c>
      <c r="J45">
        <v>285.58436928371998</v>
      </c>
      <c r="K45">
        <v>267</v>
      </c>
      <c r="L45" t="str">
        <f>DiscreteStatsTable[[#This Row],[ProjectName]]&amp;DiscreteStatsTable[[#This Row],[Name]]&amp;DiscreteStatsTable[[#This Row],[Type]]&amp;DiscreteStatsTable[[#This Row],[Source]]</f>
        <v>Unnamed ProjectPartWait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47.903256550571641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4.5200867681778671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5.6124290088036606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41.055677277038797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52.400425743986602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291.75018024914198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256</v>
      </c>
      <c r="W45">
        <f>IF((DiscreteStatsTable[[#This Row],[RepsRequested]]&gt;1),DiscreteStatsTable[[#This Row],[HalfWidth]],DiscreteStatsTable[[#This Row],[BatchMeansHalfWidth]])</f>
        <v>5.6124290088036606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109</v>
      </c>
      <c r="C46">
        <v>5</v>
      </c>
      <c r="D46" t="s">
        <v>75</v>
      </c>
      <c r="E46" t="s">
        <v>76</v>
      </c>
      <c r="F46" t="s">
        <v>77</v>
      </c>
      <c r="G46">
        <v>0</v>
      </c>
      <c r="H46">
        <v>2E+20</v>
      </c>
      <c r="I46">
        <v>0</v>
      </c>
      <c r="J46">
        <v>0</v>
      </c>
      <c r="K46">
        <v>254</v>
      </c>
      <c r="L46" t="str">
        <f>DiscreteStatsTable[[#This Row],[ProjectName]]&amp;DiscreteStatsTable[[#This Row],[Name]]&amp;DiscreteStatsTable[[#This Row],[Type]]&amp;DiscreteStatsTable[[#This Row],[Source]]</f>
        <v>Unnamed ProjectPartNVA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256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109</v>
      </c>
      <c r="C47">
        <v>5</v>
      </c>
      <c r="D47" t="s">
        <v>75</v>
      </c>
      <c r="E47" t="s">
        <v>78</v>
      </c>
      <c r="F47" t="s">
        <v>77</v>
      </c>
      <c r="G47">
        <v>0</v>
      </c>
      <c r="H47">
        <v>2E+20</v>
      </c>
      <c r="I47">
        <v>0</v>
      </c>
      <c r="J47">
        <v>0</v>
      </c>
      <c r="K47">
        <v>254</v>
      </c>
      <c r="L47" t="str">
        <f>DiscreteStatsTable[[#This Row],[ProjectName]]&amp;DiscreteStatsTable[[#This Row],[Name]]&amp;DiscreteStatsTable[[#This Row],[Type]]&amp;DiscreteStatsTable[[#This Row],[Source]]</f>
        <v>Unnamed ProjectPartOther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256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109</v>
      </c>
      <c r="C48">
        <v>5</v>
      </c>
      <c r="D48" t="s">
        <v>75</v>
      </c>
      <c r="E48" t="s">
        <v>79</v>
      </c>
      <c r="F48" t="s">
        <v>77</v>
      </c>
      <c r="G48">
        <v>55.871888906710403</v>
      </c>
      <c r="H48">
        <v>2E+20</v>
      </c>
      <c r="I48">
        <v>0</v>
      </c>
      <c r="J48">
        <v>230.36639906194</v>
      </c>
      <c r="K48">
        <v>254</v>
      </c>
      <c r="L48" t="str">
        <f>DiscreteStatsTable[[#This Row],[ProjectName]]&amp;DiscreteStatsTable[[#This Row],[Name]]&amp;DiscreteStatsTable[[#This Row],[Type]]&amp;DiscreteStatsTable[[#This Row],[Source]]</f>
        <v>Unnamed ProjectPartTotal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55.288848927915112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5.0938038463521353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6.3247928499273032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47.607660595137602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60.441273086848902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335.59840125437103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256</v>
      </c>
      <c r="W48">
        <f>IF((DiscreteStatsTable[[#This Row],[RepsRequested]]&gt;1),DiscreteStatsTable[[#This Row],[HalfWidth]],DiscreteStatsTable[[#This Row],[BatchMeansHalfWidth]])</f>
        <v>6.3247928499273032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109</v>
      </c>
      <c r="C49">
        <v>5</v>
      </c>
      <c r="D49" t="s">
        <v>75</v>
      </c>
      <c r="E49" t="s">
        <v>80</v>
      </c>
      <c r="F49" t="s">
        <v>77</v>
      </c>
      <c r="G49">
        <v>0</v>
      </c>
      <c r="H49">
        <v>2E+20</v>
      </c>
      <c r="I49">
        <v>0</v>
      </c>
      <c r="J49">
        <v>0</v>
      </c>
      <c r="K49">
        <v>254</v>
      </c>
      <c r="L4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256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109</v>
      </c>
      <c r="C50">
        <v>5</v>
      </c>
      <c r="D50" t="s">
        <v>75</v>
      </c>
      <c r="E50" t="s">
        <v>81</v>
      </c>
      <c r="F50" t="s">
        <v>77</v>
      </c>
      <c r="G50">
        <v>7.4113535466677796</v>
      </c>
      <c r="H50">
        <v>2E+20</v>
      </c>
      <c r="I50">
        <v>0</v>
      </c>
      <c r="J50">
        <v>30.3825385224028</v>
      </c>
      <c r="K50">
        <v>254</v>
      </c>
      <c r="L50" t="str">
        <f>DiscreteStatsTable[[#This Row],[ProjectName]]&amp;DiscreteStatsTable[[#This Row],[Name]]&amp;DiscreteStatsTable[[#This Row],[Type]]&amp;DiscreteStatsTable[[#This Row],[Source]]</f>
        <v>Unnamed ProjectPartVA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7.3855923773434755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0.57630712394330419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0.71557980770875518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6.5519833180988396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8.0408473428622198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43.848221005228901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256</v>
      </c>
      <c r="W50">
        <f>IF((DiscreteStatsTable[[#This Row],[RepsRequested]]&gt;1),DiscreteStatsTable[[#This Row],[HalfWidth]],DiscreteStatsTable[[#This Row],[BatchMeansHalfWidth]])</f>
        <v>0.71557980770875518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109</v>
      </c>
      <c r="C51">
        <v>5</v>
      </c>
      <c r="D51" t="s">
        <v>75</v>
      </c>
      <c r="E51" t="s">
        <v>82</v>
      </c>
      <c r="F51" t="s">
        <v>77</v>
      </c>
      <c r="G51">
        <v>48.460535360042599</v>
      </c>
      <c r="H51">
        <v>2E+20</v>
      </c>
      <c r="I51">
        <v>0</v>
      </c>
      <c r="J51">
        <v>200.13593057917601</v>
      </c>
      <c r="K51">
        <v>254</v>
      </c>
      <c r="L51" t="str">
        <f>DiscreteStatsTable[[#This Row],[ProjectName]]&amp;DiscreteStatsTable[[#This Row],[Name]]&amp;DiscreteStatsTable[[#This Row],[Type]]&amp;DiscreteStatsTable[[#This Row],[Source]]</f>
        <v>Unnamed ProjectPartWait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47.903256550571641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4.5200867681778671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5.6124290088036606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41.055677277038797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52.400425743986602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291.75018024914198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256</v>
      </c>
      <c r="W51">
        <f>IF((DiscreteStatsTable[[#This Row],[RepsRequested]]&gt;1),DiscreteStatsTable[[#This Row],[HalfWidth]],DiscreteStatsTable[[#This Row],[BatchMeansHalfWidth]])</f>
        <v>5.6124290088036606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109</v>
      </c>
      <c r="C52">
        <v>1</v>
      </c>
      <c r="D52" t="s">
        <v>83</v>
      </c>
      <c r="E52" t="s">
        <v>70</v>
      </c>
      <c r="F52" t="s">
        <v>71</v>
      </c>
      <c r="G52">
        <v>0</v>
      </c>
      <c r="H52">
        <v>2E+20</v>
      </c>
      <c r="I52">
        <v>0</v>
      </c>
      <c r="J52">
        <v>0</v>
      </c>
      <c r="K52">
        <v>133</v>
      </c>
      <c r="L52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1.20733565658236E-3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2.6996845997774984E-3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3.352101174048857E-3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6.0366782829118001E-3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0.82702492475891598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136</v>
      </c>
      <c r="W52">
        <f>IF((DiscreteStatsTable[[#This Row],[RepsRequested]]&gt;1),DiscreteStatsTable[[#This Row],[HalfWidth]],DiscreteStatsTable[[#This Row],[BatchMeansHalfWidth]])</f>
        <v>3.352101174048857E-3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109</v>
      </c>
      <c r="C53">
        <v>2</v>
      </c>
      <c r="D53" t="s">
        <v>83</v>
      </c>
      <c r="E53" t="s">
        <v>70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137</v>
      </c>
      <c r="L53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1.20733565658236E-3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2.6996845997774984E-3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3.352101174048857E-3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6.0366782829118001E-3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0.82702492475891598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136</v>
      </c>
      <c r="W53">
        <f>IF((DiscreteStatsTable[[#This Row],[RepsRequested]]&gt;1),DiscreteStatsTable[[#This Row],[HalfWidth]],DiscreteStatsTable[[#This Row],[BatchMeansHalfWidth]])</f>
        <v>3.352101174048857E-3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109</v>
      </c>
      <c r="C54">
        <v>3</v>
      </c>
      <c r="D54" t="s">
        <v>83</v>
      </c>
      <c r="E54" t="s">
        <v>70</v>
      </c>
      <c r="F54" t="s">
        <v>71</v>
      </c>
      <c r="G54">
        <v>0</v>
      </c>
      <c r="H54">
        <v>2E+20</v>
      </c>
      <c r="I54">
        <v>0</v>
      </c>
      <c r="J54">
        <v>0</v>
      </c>
      <c r="K54">
        <v>137</v>
      </c>
      <c r="L54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1.20733565658236E-3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2.6996845997774984E-3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3.352101174048857E-3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6.0366782829118001E-3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0.82702492475891598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136</v>
      </c>
      <c r="W54">
        <f>IF((DiscreteStatsTable[[#This Row],[RepsRequested]]&gt;1),DiscreteStatsTable[[#This Row],[HalfWidth]],DiscreteStatsTable[[#This Row],[BatchMeansHalfWidth]])</f>
        <v>3.352101174048857E-3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109</v>
      </c>
      <c r="C55">
        <v>4</v>
      </c>
      <c r="D55" t="s">
        <v>83</v>
      </c>
      <c r="E55" t="s">
        <v>70</v>
      </c>
      <c r="F55" t="s">
        <v>71</v>
      </c>
      <c r="G55">
        <v>6.0366782829118001E-3</v>
      </c>
      <c r="H55">
        <v>2E+20</v>
      </c>
      <c r="I55">
        <v>0</v>
      </c>
      <c r="J55">
        <v>0.82702492475891598</v>
      </c>
      <c r="K55">
        <v>137</v>
      </c>
      <c r="L55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1.20733565658236E-3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2.6996845997774984E-3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3.352101174048857E-3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6.0366782829118001E-3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0.82702492475891598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136</v>
      </c>
      <c r="W55">
        <f>IF((DiscreteStatsTable[[#This Row],[RepsRequested]]&gt;1),DiscreteStatsTable[[#This Row],[HalfWidth]],DiscreteStatsTable[[#This Row],[BatchMeansHalfWidth]])</f>
        <v>3.352101174048857E-3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109</v>
      </c>
      <c r="C56">
        <v>5</v>
      </c>
      <c r="D56" t="s">
        <v>83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136</v>
      </c>
      <c r="L56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1.20733565658236E-3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2.6996845997774984E-3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3.352101174048857E-3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6.0366782829118001E-3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0.82702492475891598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136</v>
      </c>
      <c r="W56">
        <f>IF((DiscreteStatsTable[[#This Row],[RepsRequested]]&gt;1),DiscreteStatsTable[[#This Row],[HalfWidth]],DiscreteStatsTable[[#This Row],[BatchMeansHalfWidth]])</f>
        <v>3.352101174048857E-3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</v>
      </c>
      <c r="Y56">
        <f>IF(DiscreteStatsTable[[#This Row],[RepsRequested]]=DiscreteStatsTable[[#This Row],[RepsWithStatObserved]],1,0)</f>
        <v>1</v>
      </c>
    </row>
  </sheetData>
  <phoneticPr fontId="2" type="noConversion"/>
  <conditionalFormatting sqref="H2:H56 Q2:Q56">
    <cfRule type="expression" dxfId="51" priority="23">
      <formula>H2=200000000000000000000</formula>
    </cfRule>
  </conditionalFormatting>
  <conditionalFormatting sqref="H2:H56">
    <cfRule type="expression" dxfId="50" priority="21">
      <formula>H2=300000000000000000000</formula>
    </cfRule>
  </conditionalFormatting>
  <conditionalFormatting sqref="L2:Y56">
    <cfRule type="expression" dxfId="49" priority="19">
      <formula>MOD(ROW(),2)=0</formula>
    </cfRule>
  </conditionalFormatting>
  <conditionalFormatting sqref="Y2:Y56">
    <cfRule type="expression" dxfId="48" priority="14">
      <formula>Y2=0</formula>
    </cfRule>
    <cfRule type="expression" dxfId="47" priority="16">
      <formula>Y2=1</formula>
    </cfRule>
  </conditionalFormatting>
  <conditionalFormatting sqref="Y3:Y56">
    <cfRule type="expression" dxfId="46" priority="15">
      <formula>Y3=1</formula>
    </cfRule>
  </conditionalFormatting>
  <conditionalFormatting sqref="W2:W56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56 W2:W56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6.91406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60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109</v>
      </c>
      <c r="C2">
        <v>1</v>
      </c>
      <c r="D2" t="s">
        <v>84</v>
      </c>
      <c r="E2" t="s">
        <v>85</v>
      </c>
      <c r="F2" t="s">
        <v>86</v>
      </c>
      <c r="G2">
        <v>0.39701492537313399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ProjectInspectionResourceInstantaneous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0.39701492537313399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0.410403651375776</v>
      </c>
      <c r="U2">
        <f>IF((ContinuousStatsTable[[#This Row],[RepsRequested]]&gt;1),ContinuousStatsTable[[#This Row],[HalfWidth]],ContinuousStatsTable[[#This Row],[BatchMeansHalfWidth]])</f>
        <v>6.5217349129182509E-3</v>
      </c>
    </row>
    <row r="3" spans="1:21" x14ac:dyDescent="0.3">
      <c r="A3" t="s">
        <v>66</v>
      </c>
      <c r="B3" t="s">
        <v>109</v>
      </c>
      <c r="C3">
        <v>1</v>
      </c>
      <c r="D3" t="s">
        <v>84</v>
      </c>
      <c r="E3" t="s">
        <v>87</v>
      </c>
      <c r="F3" t="s">
        <v>86</v>
      </c>
      <c r="G3">
        <v>0.39701492537313399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ProjectInspectionResourceNumber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0.39701492537313399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0.410403651375776</v>
      </c>
      <c r="U3">
        <f>IF((ContinuousStatsTable[[#This Row],[RepsRequested]]&gt;1),ContinuousStatsTable[[#This Row],[HalfWidth]],ContinuousStatsTable[[#This Row],[BatchMeansHalfWidth]])</f>
        <v>6.5217349129182509E-3</v>
      </c>
    </row>
    <row r="4" spans="1:21" x14ac:dyDescent="0.3">
      <c r="A4" t="s">
        <v>66</v>
      </c>
      <c r="B4" t="s">
        <v>109</v>
      </c>
      <c r="C4">
        <v>1</v>
      </c>
      <c r="D4" t="s">
        <v>84</v>
      </c>
      <c r="E4" t="s">
        <v>88</v>
      </c>
      <c r="F4" t="s">
        <v>86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ProjectInspectionResourceNumber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109</v>
      </c>
      <c r="C5">
        <v>1</v>
      </c>
      <c r="D5" t="s">
        <v>69</v>
      </c>
      <c r="E5" t="s">
        <v>89</v>
      </c>
      <c r="F5" t="s">
        <v>71</v>
      </c>
      <c r="G5">
        <v>2.0317766246655902</v>
      </c>
      <c r="H5">
        <v>2E+20</v>
      </c>
      <c r="I5">
        <v>0</v>
      </c>
      <c r="J5">
        <v>4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2.370979437113454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0.25326784386688805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0.31447356363220685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2.0317766246655902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2.6895326890894502</v>
      </c>
      <c r="U5">
        <f>IF((ContinuousStatsTable[[#This Row],[RepsRequested]]&gt;1),ContinuousStatsTable[[#This Row],[HalfWidth]],ContinuousStatsTable[[#This Row],[BatchMeansHalfWidth]])</f>
        <v>0.31447356363220685</v>
      </c>
    </row>
    <row r="6" spans="1:21" x14ac:dyDescent="0.3">
      <c r="A6" t="s">
        <v>66</v>
      </c>
      <c r="B6" t="s">
        <v>109</v>
      </c>
      <c r="C6">
        <v>1</v>
      </c>
      <c r="D6" t="s">
        <v>72</v>
      </c>
      <c r="E6" t="s">
        <v>89</v>
      </c>
      <c r="F6" t="s">
        <v>71</v>
      </c>
      <c r="G6">
        <v>2.4983648624854702</v>
      </c>
      <c r="H6">
        <v>2E+20</v>
      </c>
      <c r="I6">
        <v>0</v>
      </c>
      <c r="J6">
        <v>6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2.4522251515215081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0.22926889171178949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0.28467492874660633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2.0485744622565001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2.6047822870144102</v>
      </c>
      <c r="U6">
        <f>IF((ContinuousStatsTable[[#This Row],[RepsRequested]]&gt;1),ContinuousStatsTable[[#This Row],[HalfWidth]],ContinuousStatsTable[[#This Row],[BatchMeansHalfWidth]])</f>
        <v>0.28467492874660633</v>
      </c>
    </row>
    <row r="7" spans="1:21" x14ac:dyDescent="0.3">
      <c r="A7" t="s">
        <v>66</v>
      </c>
      <c r="B7" t="s">
        <v>109</v>
      </c>
      <c r="C7">
        <v>1</v>
      </c>
      <c r="D7" t="s">
        <v>73</v>
      </c>
      <c r="E7" t="s">
        <v>89</v>
      </c>
      <c r="F7" t="s">
        <v>71</v>
      </c>
      <c r="G7">
        <v>2.2409894715268499</v>
      </c>
      <c r="H7">
        <v>2E+20</v>
      </c>
      <c r="I7">
        <v>0</v>
      </c>
      <c r="J7">
        <v>6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2.2754694577872945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0.12204989248682958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0.15154495748553637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2.17414122760947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2.4838381145044202</v>
      </c>
      <c r="U7">
        <f>IF((ContinuousStatsTable[[#This Row],[RepsRequested]]&gt;1),ContinuousStatsTable[[#This Row],[HalfWidth]],ContinuousStatsTable[[#This Row],[BatchMeansHalfWidth]])</f>
        <v>0.15154495748553637</v>
      </c>
    </row>
    <row r="8" spans="1:21" x14ac:dyDescent="0.3">
      <c r="A8" t="s">
        <v>66</v>
      </c>
      <c r="B8" t="s">
        <v>109</v>
      </c>
      <c r="C8">
        <v>1</v>
      </c>
      <c r="D8" t="s">
        <v>74</v>
      </c>
      <c r="E8" t="s">
        <v>89</v>
      </c>
      <c r="F8" t="s">
        <v>71</v>
      </c>
      <c r="G8">
        <v>2.4772395380488099</v>
      </c>
      <c r="H8">
        <v>2E+20</v>
      </c>
      <c r="I8">
        <v>0</v>
      </c>
      <c r="J8">
        <v>6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2.1938041053181379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0.30062231062298123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0.37327190015738471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1.8835316579544901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2.5371941367333499</v>
      </c>
      <c r="U8">
        <f>IF((ContinuousStatsTable[[#This Row],[RepsRequested]]&gt;1),ContinuousStatsTable[[#This Row],[HalfWidth]],ContinuousStatsTable[[#This Row],[BatchMeansHalfWidth]])</f>
        <v>0.37327190015738471</v>
      </c>
    </row>
    <row r="9" spans="1:21" x14ac:dyDescent="0.3">
      <c r="A9" t="s">
        <v>66</v>
      </c>
      <c r="B9" t="s">
        <v>109</v>
      </c>
      <c r="C9">
        <v>1</v>
      </c>
      <c r="D9" t="s">
        <v>90</v>
      </c>
      <c r="E9" t="s">
        <v>85</v>
      </c>
      <c r="F9" t="s">
        <v>86</v>
      </c>
      <c r="G9">
        <v>1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">
      <c r="A10" t="s">
        <v>66</v>
      </c>
      <c r="B10" t="s">
        <v>109</v>
      </c>
      <c r="C10">
        <v>1</v>
      </c>
      <c r="D10" t="s">
        <v>90</v>
      </c>
      <c r="E10" t="s">
        <v>87</v>
      </c>
      <c r="F10" t="s">
        <v>86</v>
      </c>
      <c r="G10">
        <v>1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109</v>
      </c>
      <c r="C11">
        <v>1</v>
      </c>
      <c r="D11" t="s">
        <v>90</v>
      </c>
      <c r="E11" t="s">
        <v>88</v>
      </c>
      <c r="F11" t="s">
        <v>86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109</v>
      </c>
      <c r="C12">
        <v>1</v>
      </c>
      <c r="D12" t="s">
        <v>75</v>
      </c>
      <c r="E12" t="s">
        <v>91</v>
      </c>
      <c r="F12" t="s">
        <v>77</v>
      </c>
      <c r="G12">
        <v>10.645385422099899</v>
      </c>
      <c r="H12">
        <v>2E+20</v>
      </c>
      <c r="I12">
        <v>8</v>
      </c>
      <c r="J12">
        <v>13</v>
      </c>
      <c r="K12">
        <v>10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10.698475994327259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0.12993315112386442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0.16133331592367137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10.575819847901499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10.8926574008073</v>
      </c>
      <c r="U12">
        <f>IF((ContinuousStatsTable[[#This Row],[RepsRequested]]&gt;1),ContinuousStatsTable[[#This Row],[HalfWidth]],ContinuousStatsTable[[#This Row],[BatchMeansHalfWidth]])</f>
        <v>0.16133331592367137</v>
      </c>
    </row>
    <row r="13" spans="1:21" x14ac:dyDescent="0.3">
      <c r="A13" t="s">
        <v>66</v>
      </c>
      <c r="B13" t="s">
        <v>109</v>
      </c>
      <c r="C13">
        <v>1</v>
      </c>
      <c r="D13" t="s">
        <v>83</v>
      </c>
      <c r="E13" t="s">
        <v>89</v>
      </c>
      <c r="F13" t="s">
        <v>71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1.2343655593416658E-4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2.7601252997725155E-4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3.4271482152589043E-4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6.1718277967083297E-4</v>
      </c>
      <c r="U13">
        <f>IF((ContinuousStatsTable[[#This Row],[RepsRequested]]&gt;1),ContinuousStatsTable[[#This Row],[HalfWidth]],ContinuousStatsTable[[#This Row],[BatchMeansHalfWidth]])</f>
        <v>3.4271482152589043E-4</v>
      </c>
    </row>
    <row r="14" spans="1:21" x14ac:dyDescent="0.3">
      <c r="A14" t="s">
        <v>66</v>
      </c>
      <c r="B14" t="s">
        <v>109</v>
      </c>
      <c r="C14">
        <v>2</v>
      </c>
      <c r="D14" t="s">
        <v>84</v>
      </c>
      <c r="E14" t="s">
        <v>85</v>
      </c>
      <c r="F14" t="s">
        <v>86</v>
      </c>
      <c r="G14">
        <v>0.407232273022538</v>
      </c>
      <c r="H14">
        <v>2E+20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ProjectInspectionResourceInstantaneous UtilizationResource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0.39701492537313399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0.410403651375776</v>
      </c>
      <c r="U14">
        <f>IF((ContinuousStatsTable[[#This Row],[RepsRequested]]&gt;1),ContinuousStatsTable[[#This Row],[HalfWidth]],ContinuousStatsTable[[#This Row],[BatchMeansHalfWidth]])</f>
        <v>6.5217349129182509E-3</v>
      </c>
    </row>
    <row r="15" spans="1:21" x14ac:dyDescent="0.3">
      <c r="A15" t="s">
        <v>66</v>
      </c>
      <c r="B15" t="s">
        <v>109</v>
      </c>
      <c r="C15">
        <v>2</v>
      </c>
      <c r="D15" t="s">
        <v>84</v>
      </c>
      <c r="E15" t="s">
        <v>87</v>
      </c>
      <c r="F15" t="s">
        <v>86</v>
      </c>
      <c r="G15">
        <v>0.407232273022538</v>
      </c>
      <c r="H15">
        <v>2E+20</v>
      </c>
      <c r="I15">
        <v>0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ProjectInspectionResourceNumber BusyResource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0.39701492537313399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0.410403651375776</v>
      </c>
      <c r="U15">
        <f>IF((ContinuousStatsTable[[#This Row],[RepsRequested]]&gt;1),ContinuousStatsTable[[#This Row],[HalfWidth]],ContinuousStatsTable[[#This Row],[BatchMeansHalfWidth]])</f>
        <v>6.5217349129182509E-3</v>
      </c>
    </row>
    <row r="16" spans="1:21" x14ac:dyDescent="0.3">
      <c r="A16" t="s">
        <v>66</v>
      </c>
      <c r="B16" t="s">
        <v>109</v>
      </c>
      <c r="C16">
        <v>2</v>
      </c>
      <c r="D16" t="s">
        <v>84</v>
      </c>
      <c r="E16" t="s">
        <v>88</v>
      </c>
      <c r="F16" t="s">
        <v>86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ProjectInspectionResourceNumber ScheduledResource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66</v>
      </c>
      <c r="B17" t="s">
        <v>109</v>
      </c>
      <c r="C17">
        <v>2</v>
      </c>
      <c r="D17" t="s">
        <v>69</v>
      </c>
      <c r="E17" t="s">
        <v>89</v>
      </c>
      <c r="F17" t="s">
        <v>71</v>
      </c>
      <c r="G17">
        <v>2.47464360038287</v>
      </c>
      <c r="H17">
        <v>2E+20</v>
      </c>
      <c r="I17">
        <v>0</v>
      </c>
      <c r="J17">
        <v>5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2.370979437113454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0.25326784386688805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0.31447356363220685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2.0317766246655902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2.6895326890894502</v>
      </c>
      <c r="U17">
        <f>IF((ContinuousStatsTable[[#This Row],[RepsRequested]]&gt;1),ContinuousStatsTable[[#This Row],[HalfWidth]],ContinuousStatsTable[[#This Row],[BatchMeansHalfWidth]])</f>
        <v>0.31447356363220685</v>
      </c>
    </row>
    <row r="18" spans="1:21" x14ac:dyDescent="0.3">
      <c r="A18" t="s">
        <v>66</v>
      </c>
      <c r="B18" t="s">
        <v>109</v>
      </c>
      <c r="C18">
        <v>2</v>
      </c>
      <c r="D18" t="s">
        <v>72</v>
      </c>
      <c r="E18" t="s">
        <v>89</v>
      </c>
      <c r="F18" t="s">
        <v>71</v>
      </c>
      <c r="G18">
        <v>2.5761196886232098</v>
      </c>
      <c r="H18">
        <v>2E+20</v>
      </c>
      <c r="I18">
        <v>0</v>
      </c>
      <c r="J18">
        <v>6</v>
      </c>
      <c r="K18">
        <v>3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2.4522251515215081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0.22926889171178949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0.28467492874660633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2.0485744622565001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2.6047822870144102</v>
      </c>
      <c r="U18">
        <f>IF((ContinuousStatsTable[[#This Row],[RepsRequested]]&gt;1),ContinuousStatsTable[[#This Row],[HalfWidth]],ContinuousStatsTable[[#This Row],[BatchMeansHalfWidth]])</f>
        <v>0.28467492874660633</v>
      </c>
    </row>
    <row r="19" spans="1:21" x14ac:dyDescent="0.3">
      <c r="A19" t="s">
        <v>66</v>
      </c>
      <c r="B19" t="s">
        <v>109</v>
      </c>
      <c r="C19">
        <v>2</v>
      </c>
      <c r="D19" t="s">
        <v>73</v>
      </c>
      <c r="E19" t="s">
        <v>89</v>
      </c>
      <c r="F19" t="s">
        <v>71</v>
      </c>
      <c r="G19">
        <v>2.17414122760947</v>
      </c>
      <c r="H19">
        <v>2E+20</v>
      </c>
      <c r="I19">
        <v>0</v>
      </c>
      <c r="J19">
        <v>8</v>
      </c>
      <c r="K19">
        <v>2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2.2754694577872945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0.12204989248682958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0.15154495748553637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2.17414122760947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2.4838381145044202</v>
      </c>
      <c r="U19">
        <f>IF((ContinuousStatsTable[[#This Row],[RepsRequested]]&gt;1),ContinuousStatsTable[[#This Row],[HalfWidth]],ContinuousStatsTable[[#This Row],[BatchMeansHalfWidth]])</f>
        <v>0.15154495748553637</v>
      </c>
    </row>
    <row r="20" spans="1:21" x14ac:dyDescent="0.3">
      <c r="A20" t="s">
        <v>66</v>
      </c>
      <c r="B20" t="s">
        <v>109</v>
      </c>
      <c r="C20">
        <v>2</v>
      </c>
      <c r="D20" t="s">
        <v>74</v>
      </c>
      <c r="E20" t="s">
        <v>89</v>
      </c>
      <c r="F20" t="s">
        <v>71</v>
      </c>
      <c r="G20">
        <v>1.9436830582634601</v>
      </c>
      <c r="H20">
        <v>2E+20</v>
      </c>
      <c r="I20">
        <v>0</v>
      </c>
      <c r="J20">
        <v>4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2.1938041053181379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0.30062231062298123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0.37327190015738471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1.8835316579544901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2.5371941367333499</v>
      </c>
      <c r="U20">
        <f>IF((ContinuousStatsTable[[#This Row],[RepsRequested]]&gt;1),ContinuousStatsTable[[#This Row],[HalfWidth]],ContinuousStatsTable[[#This Row],[BatchMeansHalfWidth]])</f>
        <v>0.37327190015738471</v>
      </c>
    </row>
    <row r="21" spans="1:21" x14ac:dyDescent="0.3">
      <c r="A21" t="s">
        <v>66</v>
      </c>
      <c r="B21" t="s">
        <v>109</v>
      </c>
      <c r="C21">
        <v>2</v>
      </c>
      <c r="D21" t="s">
        <v>90</v>
      </c>
      <c r="E21" t="s">
        <v>85</v>
      </c>
      <c r="F21" t="s">
        <v>86</v>
      </c>
      <c r="G21">
        <v>1</v>
      </c>
      <c r="H21">
        <v>2E+20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109</v>
      </c>
      <c r="C22">
        <v>2</v>
      </c>
      <c r="D22" t="s">
        <v>90</v>
      </c>
      <c r="E22" t="s">
        <v>87</v>
      </c>
      <c r="F22" t="s">
        <v>86</v>
      </c>
      <c r="G22">
        <v>1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3">
      <c r="A23" t="s">
        <v>66</v>
      </c>
      <c r="B23" t="s">
        <v>109</v>
      </c>
      <c r="C23">
        <v>2</v>
      </c>
      <c r="D23" t="s">
        <v>90</v>
      </c>
      <c r="E23" t="s">
        <v>88</v>
      </c>
      <c r="F23" t="s">
        <v>86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3">
      <c r="A24" t="s">
        <v>66</v>
      </c>
      <c r="B24" t="s">
        <v>109</v>
      </c>
      <c r="C24">
        <v>2</v>
      </c>
      <c r="D24" t="s">
        <v>75</v>
      </c>
      <c r="E24" t="s">
        <v>91</v>
      </c>
      <c r="F24" t="s">
        <v>77</v>
      </c>
      <c r="G24">
        <v>10.575819847901499</v>
      </c>
      <c r="H24">
        <v>2E+20</v>
      </c>
      <c r="I24">
        <v>6</v>
      </c>
      <c r="J24">
        <v>13</v>
      </c>
      <c r="K24">
        <v>11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10.698475994327259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0.12993315112386442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0.16133331592367137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10.575819847901499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10.8926574008073</v>
      </c>
      <c r="U24">
        <f>IF((ContinuousStatsTable[[#This Row],[RepsRequested]]&gt;1),ContinuousStatsTable[[#This Row],[HalfWidth]],ContinuousStatsTable[[#This Row],[BatchMeansHalfWidth]])</f>
        <v>0.16133331592367137</v>
      </c>
    </row>
    <row r="25" spans="1:21" x14ac:dyDescent="0.3">
      <c r="A25" t="s">
        <v>66</v>
      </c>
      <c r="B25" t="s">
        <v>109</v>
      </c>
      <c r="C25">
        <v>2</v>
      </c>
      <c r="D25" t="s">
        <v>83</v>
      </c>
      <c r="E25" t="s">
        <v>89</v>
      </c>
      <c r="F25" t="s">
        <v>71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1.2343655593416658E-4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2.7601252997725155E-4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3.4271482152589043E-4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6.1718277967083297E-4</v>
      </c>
      <c r="U25">
        <f>IF((ContinuousStatsTable[[#This Row],[RepsRequested]]&gt;1),ContinuousStatsTable[[#This Row],[HalfWidth]],ContinuousStatsTable[[#This Row],[BatchMeansHalfWidth]])</f>
        <v>3.4271482152589043E-4</v>
      </c>
    </row>
    <row r="26" spans="1:21" x14ac:dyDescent="0.3">
      <c r="A26" t="s">
        <v>66</v>
      </c>
      <c r="B26" t="s">
        <v>109</v>
      </c>
      <c r="C26">
        <v>3</v>
      </c>
      <c r="D26" t="s">
        <v>84</v>
      </c>
      <c r="E26" t="s">
        <v>85</v>
      </c>
      <c r="F26" t="s">
        <v>86</v>
      </c>
      <c r="G26">
        <v>0.410403651375776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ProjectInspectionResourceInstantaneous UtilizationResource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0.39701492537313399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0.410403651375776</v>
      </c>
      <c r="U26">
        <f>IF((ContinuousStatsTable[[#This Row],[RepsRequested]]&gt;1),ContinuousStatsTable[[#This Row],[HalfWidth]],ContinuousStatsTable[[#This Row],[BatchMeansHalfWidth]])</f>
        <v>6.5217349129182509E-3</v>
      </c>
    </row>
    <row r="27" spans="1:21" x14ac:dyDescent="0.3">
      <c r="A27" t="s">
        <v>66</v>
      </c>
      <c r="B27" t="s">
        <v>109</v>
      </c>
      <c r="C27">
        <v>3</v>
      </c>
      <c r="D27" t="s">
        <v>84</v>
      </c>
      <c r="E27" t="s">
        <v>87</v>
      </c>
      <c r="F27" t="s">
        <v>86</v>
      </c>
      <c r="G27">
        <v>0.410403651375776</v>
      </c>
      <c r="H27">
        <v>2E+20</v>
      </c>
      <c r="I27">
        <v>0</v>
      </c>
      <c r="J27">
        <v>1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ProjectInspectionResourceNumber BusyResource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0.39701492537313399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0.410403651375776</v>
      </c>
      <c r="U27">
        <f>IF((ContinuousStatsTable[[#This Row],[RepsRequested]]&gt;1),ContinuousStatsTable[[#This Row],[HalfWidth]],ContinuousStatsTable[[#This Row],[BatchMeansHalfWidth]])</f>
        <v>6.5217349129182509E-3</v>
      </c>
    </row>
    <row r="28" spans="1:21" x14ac:dyDescent="0.3">
      <c r="A28" t="s">
        <v>66</v>
      </c>
      <c r="B28" t="s">
        <v>109</v>
      </c>
      <c r="C28">
        <v>3</v>
      </c>
      <c r="D28" t="s">
        <v>84</v>
      </c>
      <c r="E28" t="s">
        <v>88</v>
      </c>
      <c r="F28" t="s">
        <v>86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ProjectInspectionResourceNumber ScheduledResource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>
        <f>IF((ContinuousStatsTable[[#This Row],[RepsRequested]]&gt;1),ContinuousStatsTable[[#This Row],[HalfWidth]],ContinuousStatsTable[[#This Row],[BatchMeansHalfWidth]])</f>
        <v>0</v>
      </c>
    </row>
    <row r="29" spans="1:21" x14ac:dyDescent="0.3">
      <c r="A29" t="s">
        <v>66</v>
      </c>
      <c r="B29" t="s">
        <v>109</v>
      </c>
      <c r="C29">
        <v>3</v>
      </c>
      <c r="D29" t="s">
        <v>69</v>
      </c>
      <c r="E29" t="s">
        <v>89</v>
      </c>
      <c r="F29" t="s">
        <v>71</v>
      </c>
      <c r="G29">
        <v>2.6895326890894502</v>
      </c>
      <c r="H29">
        <v>2E+20</v>
      </c>
      <c r="I29">
        <v>0</v>
      </c>
      <c r="J29">
        <v>7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2.370979437113454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0.25326784386688805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0.31447356363220685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2.0317766246655902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2.6895326890894502</v>
      </c>
      <c r="U29">
        <f>IF((ContinuousStatsTable[[#This Row],[RepsRequested]]&gt;1),ContinuousStatsTable[[#This Row],[HalfWidth]],ContinuousStatsTable[[#This Row],[BatchMeansHalfWidth]])</f>
        <v>0.31447356363220685</v>
      </c>
    </row>
    <row r="30" spans="1:21" x14ac:dyDescent="0.3">
      <c r="A30" t="s">
        <v>66</v>
      </c>
      <c r="B30" t="s">
        <v>109</v>
      </c>
      <c r="C30">
        <v>3</v>
      </c>
      <c r="D30" t="s">
        <v>72</v>
      </c>
      <c r="E30" t="s">
        <v>89</v>
      </c>
      <c r="F30" t="s">
        <v>71</v>
      </c>
      <c r="G30">
        <v>2.0485744622565001</v>
      </c>
      <c r="H30">
        <v>2E+20</v>
      </c>
      <c r="I30">
        <v>0</v>
      </c>
      <c r="J30">
        <v>4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2.4522251515215081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0.22926889171178949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0.28467492874660633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2.0485744622565001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2.6047822870144102</v>
      </c>
      <c r="U30">
        <f>IF((ContinuousStatsTable[[#This Row],[RepsRequested]]&gt;1),ContinuousStatsTable[[#This Row],[HalfWidth]],ContinuousStatsTable[[#This Row],[BatchMeansHalfWidth]])</f>
        <v>0.28467492874660633</v>
      </c>
    </row>
    <row r="31" spans="1:21" x14ac:dyDescent="0.3">
      <c r="A31" t="s">
        <v>66</v>
      </c>
      <c r="B31" t="s">
        <v>109</v>
      </c>
      <c r="C31">
        <v>3</v>
      </c>
      <c r="D31" t="s">
        <v>73</v>
      </c>
      <c r="E31" t="s">
        <v>89</v>
      </c>
      <c r="F31" t="s">
        <v>71</v>
      </c>
      <c r="G31">
        <v>2.2069524613522602</v>
      </c>
      <c r="H31">
        <v>2E+20</v>
      </c>
      <c r="I31">
        <v>0</v>
      </c>
      <c r="J31">
        <v>6</v>
      </c>
      <c r="K31">
        <v>1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2.2754694577872945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0.12204989248682958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0.15154495748553637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2.17414122760947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2.4838381145044202</v>
      </c>
      <c r="U31">
        <f>IF((ContinuousStatsTable[[#This Row],[RepsRequested]]&gt;1),ContinuousStatsTable[[#This Row],[HalfWidth]],ContinuousStatsTable[[#This Row],[BatchMeansHalfWidth]])</f>
        <v>0.15154495748553637</v>
      </c>
    </row>
    <row r="32" spans="1:21" x14ac:dyDescent="0.3">
      <c r="A32" t="s">
        <v>66</v>
      </c>
      <c r="B32" t="s">
        <v>109</v>
      </c>
      <c r="C32">
        <v>3</v>
      </c>
      <c r="D32" t="s">
        <v>74</v>
      </c>
      <c r="E32" t="s">
        <v>89</v>
      </c>
      <c r="F32" t="s">
        <v>71</v>
      </c>
      <c r="G32">
        <v>2.5371941367333499</v>
      </c>
      <c r="H32">
        <v>2E+20</v>
      </c>
      <c r="I32">
        <v>0</v>
      </c>
      <c r="J32">
        <v>7</v>
      </c>
      <c r="K32">
        <v>5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2.1938041053181379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0.30062231062298123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0.37327190015738471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1.8835316579544901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2.5371941367333499</v>
      </c>
      <c r="U32">
        <f>IF((ContinuousStatsTable[[#This Row],[RepsRequested]]&gt;1),ContinuousStatsTable[[#This Row],[HalfWidth]],ContinuousStatsTable[[#This Row],[BatchMeansHalfWidth]])</f>
        <v>0.37327190015738471</v>
      </c>
    </row>
    <row r="33" spans="1:21" x14ac:dyDescent="0.3">
      <c r="A33" t="s">
        <v>66</v>
      </c>
      <c r="B33" t="s">
        <v>109</v>
      </c>
      <c r="C33">
        <v>3</v>
      </c>
      <c r="D33" t="s">
        <v>90</v>
      </c>
      <c r="E33" t="s">
        <v>85</v>
      </c>
      <c r="F33" t="s">
        <v>86</v>
      </c>
      <c r="G33">
        <v>1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0</v>
      </c>
    </row>
    <row r="34" spans="1:21" x14ac:dyDescent="0.3">
      <c r="A34" t="s">
        <v>66</v>
      </c>
      <c r="B34" t="s">
        <v>109</v>
      </c>
      <c r="C34">
        <v>3</v>
      </c>
      <c r="D34" t="s">
        <v>90</v>
      </c>
      <c r="E34" t="s">
        <v>87</v>
      </c>
      <c r="F34" t="s">
        <v>86</v>
      </c>
      <c r="G34">
        <v>1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3">
      <c r="A35" t="s">
        <v>66</v>
      </c>
      <c r="B35" t="s">
        <v>109</v>
      </c>
      <c r="C35">
        <v>3</v>
      </c>
      <c r="D35" t="s">
        <v>90</v>
      </c>
      <c r="E35" t="s">
        <v>88</v>
      </c>
      <c r="F35" t="s">
        <v>86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109</v>
      </c>
      <c r="C36">
        <v>3</v>
      </c>
      <c r="D36" t="s">
        <v>75</v>
      </c>
      <c r="E36" t="s">
        <v>91</v>
      </c>
      <c r="F36" t="s">
        <v>77</v>
      </c>
      <c r="G36">
        <v>10.8926574008073</v>
      </c>
      <c r="H36">
        <v>2E+20</v>
      </c>
      <c r="I36">
        <v>8</v>
      </c>
      <c r="J36">
        <v>13</v>
      </c>
      <c r="K36">
        <v>11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10.698475994327259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0.12993315112386442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0.16133331592367137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10.575819847901499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10.8926574008073</v>
      </c>
      <c r="U36">
        <f>IF((ContinuousStatsTable[[#This Row],[RepsRequested]]&gt;1),ContinuousStatsTable[[#This Row],[HalfWidth]],ContinuousStatsTable[[#This Row],[BatchMeansHalfWidth]])</f>
        <v>0.16133331592367137</v>
      </c>
    </row>
    <row r="37" spans="1:21" x14ac:dyDescent="0.3">
      <c r="A37" t="s">
        <v>66</v>
      </c>
      <c r="B37" t="s">
        <v>109</v>
      </c>
      <c r="C37">
        <v>3</v>
      </c>
      <c r="D37" t="s">
        <v>83</v>
      </c>
      <c r="E37" t="s">
        <v>89</v>
      </c>
      <c r="F37" t="s">
        <v>71</v>
      </c>
      <c r="G37">
        <v>0</v>
      </c>
      <c r="H37">
        <v>2E+20</v>
      </c>
      <c r="I37">
        <v>0</v>
      </c>
      <c r="J37">
        <v>0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1.2343655593416658E-4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2.7601252997725155E-4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3.4271482152589043E-4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6.1718277967083297E-4</v>
      </c>
      <c r="U37">
        <f>IF((ContinuousStatsTable[[#This Row],[RepsRequested]]&gt;1),ContinuousStatsTable[[#This Row],[HalfWidth]],ContinuousStatsTable[[#This Row],[BatchMeansHalfWidth]])</f>
        <v>3.4271482152589043E-4</v>
      </c>
    </row>
    <row r="38" spans="1:21" x14ac:dyDescent="0.3">
      <c r="A38" t="s">
        <v>66</v>
      </c>
      <c r="B38" t="s">
        <v>109</v>
      </c>
      <c r="C38">
        <v>4</v>
      </c>
      <c r="D38" t="s">
        <v>84</v>
      </c>
      <c r="E38" t="s">
        <v>85</v>
      </c>
      <c r="F38" t="s">
        <v>86</v>
      </c>
      <c r="G38">
        <v>0.40895522388059702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ProjectInspectionResourceInstantaneous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0.39701492537313399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0.410403651375776</v>
      </c>
      <c r="U38">
        <f>IF((ContinuousStatsTable[[#This Row],[RepsRequested]]&gt;1),ContinuousStatsTable[[#This Row],[HalfWidth]],ContinuousStatsTable[[#This Row],[BatchMeansHalfWidth]])</f>
        <v>6.5217349129182509E-3</v>
      </c>
    </row>
    <row r="39" spans="1:21" x14ac:dyDescent="0.3">
      <c r="A39" t="s">
        <v>66</v>
      </c>
      <c r="B39" t="s">
        <v>109</v>
      </c>
      <c r="C39">
        <v>4</v>
      </c>
      <c r="D39" t="s">
        <v>84</v>
      </c>
      <c r="E39" t="s">
        <v>87</v>
      </c>
      <c r="F39" t="s">
        <v>86</v>
      </c>
      <c r="G39">
        <v>0.40895522388059702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ProjectInspectionResourceNumber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0.39701492537313399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0.410403651375776</v>
      </c>
      <c r="U39">
        <f>IF((ContinuousStatsTable[[#This Row],[RepsRequested]]&gt;1),ContinuousStatsTable[[#This Row],[HalfWidth]],ContinuousStatsTable[[#This Row],[BatchMeansHalfWidth]])</f>
        <v>6.5217349129182509E-3</v>
      </c>
    </row>
    <row r="40" spans="1:21" x14ac:dyDescent="0.3">
      <c r="A40" t="s">
        <v>66</v>
      </c>
      <c r="B40" t="s">
        <v>109</v>
      </c>
      <c r="C40">
        <v>4</v>
      </c>
      <c r="D40" t="s">
        <v>84</v>
      </c>
      <c r="E40" t="s">
        <v>88</v>
      </c>
      <c r="F40" t="s">
        <v>86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ProjectInspectionResourceNumber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109</v>
      </c>
      <c r="C41">
        <v>4</v>
      </c>
      <c r="D41" t="s">
        <v>69</v>
      </c>
      <c r="E41" t="s">
        <v>89</v>
      </c>
      <c r="F41" t="s">
        <v>71</v>
      </c>
      <c r="G41">
        <v>2.4431640653881201</v>
      </c>
      <c r="H41">
        <v>2E+20</v>
      </c>
      <c r="I41">
        <v>0</v>
      </c>
      <c r="J41">
        <v>5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2.370979437113454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0.25326784386688805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0.31447356363220685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2.0317766246655902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2.6895326890894502</v>
      </c>
      <c r="U41">
        <f>IF((ContinuousStatsTable[[#This Row],[RepsRequested]]&gt;1),ContinuousStatsTable[[#This Row],[HalfWidth]],ContinuousStatsTable[[#This Row],[BatchMeansHalfWidth]])</f>
        <v>0.31447356363220685</v>
      </c>
    </row>
    <row r="42" spans="1:21" x14ac:dyDescent="0.3">
      <c r="A42" t="s">
        <v>66</v>
      </c>
      <c r="B42" t="s">
        <v>109</v>
      </c>
      <c r="C42">
        <v>4</v>
      </c>
      <c r="D42" t="s">
        <v>72</v>
      </c>
      <c r="E42" t="s">
        <v>89</v>
      </c>
      <c r="F42" t="s">
        <v>71</v>
      </c>
      <c r="G42">
        <v>2.6047822870144102</v>
      </c>
      <c r="H42">
        <v>2E+20</v>
      </c>
      <c r="I42">
        <v>0</v>
      </c>
      <c r="J42">
        <v>7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2.4522251515215081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0.22926889171178949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0.28467492874660633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2.0485744622565001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2.6047822870144102</v>
      </c>
      <c r="U42">
        <f>IF((ContinuousStatsTable[[#This Row],[RepsRequested]]&gt;1),ContinuousStatsTable[[#This Row],[HalfWidth]],ContinuousStatsTable[[#This Row],[BatchMeansHalfWidth]])</f>
        <v>0.28467492874660633</v>
      </c>
    </row>
    <row r="43" spans="1:21" x14ac:dyDescent="0.3">
      <c r="A43" t="s">
        <v>66</v>
      </c>
      <c r="B43" t="s">
        <v>109</v>
      </c>
      <c r="C43">
        <v>4</v>
      </c>
      <c r="D43" t="s">
        <v>73</v>
      </c>
      <c r="E43" t="s">
        <v>89</v>
      </c>
      <c r="F43" t="s">
        <v>71</v>
      </c>
      <c r="G43">
        <v>2.2714260139434699</v>
      </c>
      <c r="H43">
        <v>2E+20</v>
      </c>
      <c r="I43">
        <v>0</v>
      </c>
      <c r="J43">
        <v>7</v>
      </c>
      <c r="K43">
        <v>6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2.2754694577872945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0.12204989248682958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0.15154495748553637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2.17414122760947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2.4838381145044202</v>
      </c>
      <c r="U43">
        <f>IF((ContinuousStatsTable[[#This Row],[RepsRequested]]&gt;1),ContinuousStatsTable[[#This Row],[HalfWidth]],ContinuousStatsTable[[#This Row],[BatchMeansHalfWidth]])</f>
        <v>0.15154495748553637</v>
      </c>
    </row>
    <row r="44" spans="1:21" x14ac:dyDescent="0.3">
      <c r="A44" t="s">
        <v>66</v>
      </c>
      <c r="B44" t="s">
        <v>109</v>
      </c>
      <c r="C44">
        <v>4</v>
      </c>
      <c r="D44" t="s">
        <v>74</v>
      </c>
      <c r="E44" t="s">
        <v>89</v>
      </c>
      <c r="F44" t="s">
        <v>71</v>
      </c>
      <c r="G44">
        <v>1.8835316579544901</v>
      </c>
      <c r="H44">
        <v>2E+20</v>
      </c>
      <c r="I44">
        <v>0</v>
      </c>
      <c r="J44">
        <v>5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2.1938041053181379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0.30062231062298123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0.37327190015738471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1.8835316579544901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2.5371941367333499</v>
      </c>
      <c r="U44">
        <f>IF((ContinuousStatsTable[[#This Row],[RepsRequested]]&gt;1),ContinuousStatsTable[[#This Row],[HalfWidth]],ContinuousStatsTable[[#This Row],[BatchMeansHalfWidth]])</f>
        <v>0.37327190015738471</v>
      </c>
    </row>
    <row r="45" spans="1:21" x14ac:dyDescent="0.3">
      <c r="A45" t="s">
        <v>66</v>
      </c>
      <c r="B45" t="s">
        <v>109</v>
      </c>
      <c r="C45">
        <v>4</v>
      </c>
      <c r="D45" t="s">
        <v>90</v>
      </c>
      <c r="E45" t="s">
        <v>85</v>
      </c>
      <c r="F45" t="s">
        <v>86</v>
      </c>
      <c r="G45">
        <v>1</v>
      </c>
      <c r="H45">
        <v>2E+20</v>
      </c>
      <c r="I45">
        <v>0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109</v>
      </c>
      <c r="C46">
        <v>4</v>
      </c>
      <c r="D46" t="s">
        <v>90</v>
      </c>
      <c r="E46" t="s">
        <v>87</v>
      </c>
      <c r="F46" t="s">
        <v>86</v>
      </c>
      <c r="G46">
        <v>1</v>
      </c>
      <c r="H46">
        <v>2E+20</v>
      </c>
      <c r="I46">
        <v>0</v>
      </c>
      <c r="J46">
        <v>1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3">
      <c r="A47" t="s">
        <v>66</v>
      </c>
      <c r="B47" t="s">
        <v>109</v>
      </c>
      <c r="C47">
        <v>4</v>
      </c>
      <c r="D47" t="s">
        <v>90</v>
      </c>
      <c r="E47" t="s">
        <v>88</v>
      </c>
      <c r="F47" t="s">
        <v>86</v>
      </c>
      <c r="G47">
        <v>1</v>
      </c>
      <c r="H47">
        <v>2E+20</v>
      </c>
      <c r="I47">
        <v>1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3">
      <c r="A48" t="s">
        <v>66</v>
      </c>
      <c r="B48" t="s">
        <v>109</v>
      </c>
      <c r="C48">
        <v>4</v>
      </c>
      <c r="D48" t="s">
        <v>75</v>
      </c>
      <c r="E48" t="s">
        <v>91</v>
      </c>
      <c r="F48" t="s">
        <v>77</v>
      </c>
      <c r="G48">
        <v>10.6124764309608</v>
      </c>
      <c r="H48">
        <v>2E+20</v>
      </c>
      <c r="I48">
        <v>7</v>
      </c>
      <c r="J48">
        <v>13</v>
      </c>
      <c r="K48">
        <v>11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ProjectPartWIPEntity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10.698475994327259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0.12993315112386442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0.16133331592367137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10.575819847901499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10.8926574008073</v>
      </c>
      <c r="U48">
        <f>IF((ContinuousStatsTable[[#This Row],[RepsRequested]]&gt;1),ContinuousStatsTable[[#This Row],[HalfWidth]],ContinuousStatsTable[[#This Row],[BatchMeansHalfWidth]])</f>
        <v>0.16133331592367137</v>
      </c>
    </row>
    <row r="49" spans="1:21" x14ac:dyDescent="0.3">
      <c r="A49" t="s">
        <v>66</v>
      </c>
      <c r="B49" t="s">
        <v>109</v>
      </c>
      <c r="C49">
        <v>4</v>
      </c>
      <c r="D49" t="s">
        <v>83</v>
      </c>
      <c r="E49" t="s">
        <v>89</v>
      </c>
      <c r="F49" t="s">
        <v>71</v>
      </c>
      <c r="G49">
        <v>6.1718277967083297E-4</v>
      </c>
      <c r="H49">
        <v>2E+20</v>
      </c>
      <c r="I49">
        <v>0</v>
      </c>
      <c r="J49">
        <v>1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1.2343655593416658E-4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2.7601252997725155E-4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3.4271482152589043E-4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6.1718277967083297E-4</v>
      </c>
      <c r="U49">
        <f>IF((ContinuousStatsTable[[#This Row],[RepsRequested]]&gt;1),ContinuousStatsTable[[#This Row],[HalfWidth]],ContinuousStatsTable[[#This Row],[BatchMeansHalfWidth]])</f>
        <v>3.4271482152589043E-4</v>
      </c>
    </row>
    <row r="50" spans="1:21" x14ac:dyDescent="0.3">
      <c r="A50" t="s">
        <v>66</v>
      </c>
      <c r="B50" t="s">
        <v>109</v>
      </c>
      <c r="C50">
        <v>5</v>
      </c>
      <c r="D50" t="s">
        <v>84</v>
      </c>
      <c r="E50" t="s">
        <v>85</v>
      </c>
      <c r="F50" t="s">
        <v>86</v>
      </c>
      <c r="G50">
        <v>0.40576595650258501</v>
      </c>
      <c r="H50">
        <v>2E+20</v>
      </c>
      <c r="I50">
        <v>0</v>
      </c>
      <c r="J50">
        <v>1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ProjectInspectionResourceInstantaneous UtilizationResource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0.39701492537313399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0.410403651375776</v>
      </c>
      <c r="U50">
        <f>IF((ContinuousStatsTable[[#This Row],[RepsRequested]]&gt;1),ContinuousStatsTable[[#This Row],[HalfWidth]],ContinuousStatsTable[[#This Row],[BatchMeansHalfWidth]])</f>
        <v>6.5217349129182509E-3</v>
      </c>
    </row>
    <row r="51" spans="1:21" x14ac:dyDescent="0.3">
      <c r="A51" t="s">
        <v>66</v>
      </c>
      <c r="B51" t="s">
        <v>109</v>
      </c>
      <c r="C51">
        <v>5</v>
      </c>
      <c r="D51" t="s">
        <v>84</v>
      </c>
      <c r="E51" t="s">
        <v>87</v>
      </c>
      <c r="F51" t="s">
        <v>86</v>
      </c>
      <c r="G51">
        <v>0.40576595650258501</v>
      </c>
      <c r="H51">
        <v>2E+20</v>
      </c>
      <c r="I51">
        <v>0</v>
      </c>
      <c r="J51">
        <v>1</v>
      </c>
      <c r="K51">
        <v>1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ProjectInspectionResourceNumber BusyResource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0.40587440603092595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5.2524152446658907E-3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6.5217349129182509E-3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0.39701492537313399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0.410403651375776</v>
      </c>
      <c r="U51">
        <f>IF((ContinuousStatsTable[[#This Row],[RepsRequested]]&gt;1),ContinuousStatsTable[[#This Row],[HalfWidth]],ContinuousStatsTable[[#This Row],[BatchMeansHalfWidth]])</f>
        <v>6.5217349129182509E-3</v>
      </c>
    </row>
    <row r="52" spans="1:21" x14ac:dyDescent="0.3">
      <c r="A52" t="s">
        <v>66</v>
      </c>
      <c r="B52" t="s">
        <v>109</v>
      </c>
      <c r="C52">
        <v>5</v>
      </c>
      <c r="D52" t="s">
        <v>84</v>
      </c>
      <c r="E52" t="s">
        <v>88</v>
      </c>
      <c r="F52" t="s">
        <v>86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ProjectInspectionResourceNumber ScheduledResource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>
        <f>IF((ContinuousStatsTable[[#This Row],[RepsRequested]]&gt;1),ContinuousStatsTable[[#This Row],[HalfWidth]],ContinuousStatsTable[[#This Row],[BatchMeansHalfWidth]])</f>
        <v>0</v>
      </c>
    </row>
    <row r="53" spans="1:21" x14ac:dyDescent="0.3">
      <c r="A53" t="s">
        <v>66</v>
      </c>
      <c r="B53" t="s">
        <v>109</v>
      </c>
      <c r="C53">
        <v>5</v>
      </c>
      <c r="D53" t="s">
        <v>69</v>
      </c>
      <c r="E53" t="s">
        <v>89</v>
      </c>
      <c r="F53" t="s">
        <v>71</v>
      </c>
      <c r="G53">
        <v>2.2157802060412402</v>
      </c>
      <c r="H53">
        <v>2E+20</v>
      </c>
      <c r="I53">
        <v>0</v>
      </c>
      <c r="J53">
        <v>5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2.370979437113454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0.25326784386688805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0.31447356363220685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2.0317766246655902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2.6895326890894502</v>
      </c>
      <c r="U53">
        <f>IF((ContinuousStatsTable[[#This Row],[RepsRequested]]&gt;1),ContinuousStatsTable[[#This Row],[HalfWidth]],ContinuousStatsTable[[#This Row],[BatchMeansHalfWidth]])</f>
        <v>0.31447356363220685</v>
      </c>
    </row>
    <row r="54" spans="1:21" x14ac:dyDescent="0.3">
      <c r="A54" t="s">
        <v>66</v>
      </c>
      <c r="B54" t="s">
        <v>109</v>
      </c>
      <c r="C54">
        <v>5</v>
      </c>
      <c r="D54" t="s">
        <v>72</v>
      </c>
      <c r="E54" t="s">
        <v>89</v>
      </c>
      <c r="F54" t="s">
        <v>71</v>
      </c>
      <c r="G54">
        <v>2.5332844572279498</v>
      </c>
      <c r="H54">
        <v>2E+20</v>
      </c>
      <c r="I54">
        <v>0</v>
      </c>
      <c r="J54">
        <v>5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2.4522251515215081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0.22926889171178949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0.28467492874660633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2.0485744622565001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2.6047822870144102</v>
      </c>
      <c r="U54">
        <f>IF((ContinuousStatsTable[[#This Row],[RepsRequested]]&gt;1),ContinuousStatsTable[[#This Row],[HalfWidth]],ContinuousStatsTable[[#This Row],[BatchMeansHalfWidth]])</f>
        <v>0.28467492874660633</v>
      </c>
    </row>
    <row r="55" spans="1:21" x14ac:dyDescent="0.3">
      <c r="A55" t="s">
        <v>66</v>
      </c>
      <c r="B55" t="s">
        <v>109</v>
      </c>
      <c r="C55">
        <v>5</v>
      </c>
      <c r="D55" t="s">
        <v>73</v>
      </c>
      <c r="E55" t="s">
        <v>89</v>
      </c>
      <c r="F55" t="s">
        <v>71</v>
      </c>
      <c r="G55">
        <v>2.4838381145044202</v>
      </c>
      <c r="H55">
        <v>2E+20</v>
      </c>
      <c r="I55">
        <v>0</v>
      </c>
      <c r="J55">
        <v>6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2.2754694577872945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0.12204989248682958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0.15154495748553637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2.17414122760947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2.4838381145044202</v>
      </c>
      <c r="U55">
        <f>IF((ContinuousStatsTable[[#This Row],[RepsRequested]]&gt;1),ContinuousStatsTable[[#This Row],[HalfWidth]],ContinuousStatsTable[[#This Row],[BatchMeansHalfWidth]])</f>
        <v>0.15154495748553637</v>
      </c>
    </row>
    <row r="56" spans="1:21" x14ac:dyDescent="0.3">
      <c r="A56" t="s">
        <v>66</v>
      </c>
      <c r="B56" t="s">
        <v>109</v>
      </c>
      <c r="C56">
        <v>5</v>
      </c>
      <c r="D56" t="s">
        <v>74</v>
      </c>
      <c r="E56" t="s">
        <v>89</v>
      </c>
      <c r="F56" t="s">
        <v>71</v>
      </c>
      <c r="G56">
        <v>2.1273721355905799</v>
      </c>
      <c r="H56">
        <v>2E+20</v>
      </c>
      <c r="I56">
        <v>0</v>
      </c>
      <c r="J56">
        <v>5</v>
      </c>
      <c r="K56">
        <v>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2.1938041053181379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0.30062231062298123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0.37327190015738471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1.8835316579544901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2.5371941367333499</v>
      </c>
      <c r="U56">
        <f>IF((ContinuousStatsTable[[#This Row],[RepsRequested]]&gt;1),ContinuousStatsTable[[#This Row],[HalfWidth]],ContinuousStatsTable[[#This Row],[BatchMeansHalfWidth]])</f>
        <v>0.37327190015738471</v>
      </c>
    </row>
    <row r="57" spans="1:21" x14ac:dyDescent="0.3">
      <c r="A57" t="s">
        <v>66</v>
      </c>
      <c r="B57" t="s">
        <v>109</v>
      </c>
      <c r="C57">
        <v>5</v>
      </c>
      <c r="D57" t="s">
        <v>90</v>
      </c>
      <c r="E57" t="s">
        <v>85</v>
      </c>
      <c r="F57" t="s">
        <v>86</v>
      </c>
      <c r="G57">
        <v>1</v>
      </c>
      <c r="H57">
        <v>2E+20</v>
      </c>
      <c r="I57">
        <v>0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3">
      <c r="A58" t="s">
        <v>66</v>
      </c>
      <c r="B58" t="s">
        <v>109</v>
      </c>
      <c r="C58">
        <v>5</v>
      </c>
      <c r="D58" t="s">
        <v>90</v>
      </c>
      <c r="E58" t="s">
        <v>87</v>
      </c>
      <c r="F58" t="s">
        <v>86</v>
      </c>
      <c r="G58">
        <v>1</v>
      </c>
      <c r="H58">
        <v>2E+20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3">
      <c r="A59" t="s">
        <v>66</v>
      </c>
      <c r="B59" t="s">
        <v>109</v>
      </c>
      <c r="C59">
        <v>5</v>
      </c>
      <c r="D59" t="s">
        <v>90</v>
      </c>
      <c r="E59" t="s">
        <v>88</v>
      </c>
      <c r="F59" t="s">
        <v>86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3">
      <c r="A60" t="s">
        <v>66</v>
      </c>
      <c r="B60" t="s">
        <v>109</v>
      </c>
      <c r="C60">
        <v>5</v>
      </c>
      <c r="D60" t="s">
        <v>75</v>
      </c>
      <c r="E60" t="s">
        <v>91</v>
      </c>
      <c r="F60" t="s">
        <v>77</v>
      </c>
      <c r="G60">
        <v>10.766040869866799</v>
      </c>
      <c r="H60">
        <v>2E+20</v>
      </c>
      <c r="I60">
        <v>7</v>
      </c>
      <c r="J60">
        <v>13</v>
      </c>
      <c r="K60">
        <v>12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10.698475994327259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0.12993315112386442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0.16133331592367137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10.575819847901499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10.8926574008073</v>
      </c>
      <c r="U60">
        <f>IF((ContinuousStatsTable[[#This Row],[RepsRequested]]&gt;1),ContinuousStatsTable[[#This Row],[HalfWidth]],ContinuousStatsTable[[#This Row],[BatchMeansHalfWidth]])</f>
        <v>0.16133331592367137</v>
      </c>
    </row>
    <row r="61" spans="1:21" x14ac:dyDescent="0.3">
      <c r="A61" t="s">
        <v>66</v>
      </c>
      <c r="B61" t="s">
        <v>109</v>
      </c>
      <c r="C61">
        <v>5</v>
      </c>
      <c r="D61" t="s">
        <v>83</v>
      </c>
      <c r="E61" t="s">
        <v>89</v>
      </c>
      <c r="F61" t="s">
        <v>71</v>
      </c>
      <c r="G61">
        <v>0</v>
      </c>
      <c r="H61">
        <v>2E+20</v>
      </c>
      <c r="I61">
        <v>0</v>
      </c>
      <c r="J61">
        <v>0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1.2343655593416658E-4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2.7601252997725155E-4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3.4271482152589043E-4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6.1718277967083297E-4</v>
      </c>
      <c r="U61">
        <f>IF((ContinuousStatsTable[[#This Row],[RepsRequested]]&gt;1),ContinuousStatsTable[[#This Row],[HalfWidth]],ContinuousStatsTable[[#This Row],[BatchMeansHalfWidth]])</f>
        <v>3.4271482152589043E-4</v>
      </c>
    </row>
  </sheetData>
  <phoneticPr fontId="2" type="noConversion"/>
  <conditionalFormatting sqref="H2:H61">
    <cfRule type="expression" dxfId="28" priority="9">
      <formula>H2=200000000000000000000</formula>
    </cfRule>
  </conditionalFormatting>
  <conditionalFormatting sqref="H2:H61">
    <cfRule type="expression" dxfId="27" priority="7">
      <formula>H2=300000000000000000000</formula>
    </cfRule>
  </conditionalFormatting>
  <conditionalFormatting sqref="M2:U61">
    <cfRule type="expression" dxfId="26" priority="5">
      <formula>MOD(ROW(),2)=0</formula>
    </cfRule>
  </conditionalFormatting>
  <conditionalFormatting sqref="U2:U6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61 U2:U6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164062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43.914062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109</v>
      </c>
      <c r="C2">
        <v>1</v>
      </c>
      <c r="D2" t="s">
        <v>92</v>
      </c>
      <c r="E2" t="s">
        <v>93</v>
      </c>
      <c r="F2" t="s">
        <v>94</v>
      </c>
      <c r="G2">
        <v>0</v>
      </c>
      <c r="H2" t="str">
        <f>CountersTable[[#This Row],[ProjectName]]&amp;CountersTable[[#This Row],[Name]]&amp;CountersTable[[#This Row],[Type]]&amp;CountersTable[[#This Row],[Source]]</f>
        <v>Unnamed ProjectFailCountCountUser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5</v>
      </c>
      <c r="J2" cm="1">
        <f t="array" ref="J2">IFERROR(AVERAGE(IF((CountersTable[GroupByKey]=CountersTable[[#This Row],[GroupByKey]]),(CountersTable[GroupByKey]=CountersTable[[#This Row],[GroupByKey]])*CountersTable[RecordedValue])),0)</f>
        <v>0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" cm="1">
        <f t="array" ref="N2">MIN(IF((CountersTable[GroupByKey]=CountersTable[[#This Row],[GroupByKey]]),(CountersTable[GroupByKey]=CountersTable[[#This Row],[GroupByKey]])*CountersTable[RecordedValue]))</f>
        <v>0</v>
      </c>
      <c r="O2" cm="1">
        <f t="array" ref="O2">MAX(IF((CountersTable[GroupByKey]=CountersTable[[#This Row],[GroupByKey]]),(CountersTable[GroupByKey]=CountersTable[[#This Row],[GroupByKey]])*CountersTable[RecordedValue]))</f>
        <v>0</v>
      </c>
    </row>
    <row r="3" spans="1:15" x14ac:dyDescent="0.3">
      <c r="A3" t="s">
        <v>66</v>
      </c>
      <c r="B3" t="s">
        <v>109</v>
      </c>
      <c r="C3">
        <v>1</v>
      </c>
      <c r="D3" t="s">
        <v>95</v>
      </c>
      <c r="E3" t="s">
        <v>93</v>
      </c>
      <c r="F3" t="s">
        <v>94</v>
      </c>
      <c r="G3">
        <v>104</v>
      </c>
      <c r="H3" t="str">
        <f>CountersTable[[#This Row],[ProjectName]]&amp;CountersTable[[#This Row],[Name]]&amp;CountersTable[[#This Row],[Type]]&amp;CountersTable[[#This Row],[Source]]</f>
        <v>Unnamed ProjectSuccessCountCountUser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5</v>
      </c>
      <c r="J3" cm="1">
        <f t="array" ref="J3">IFERROR(AVERAGE(IF((CountersTable[GroupByKey]=CountersTable[[#This Row],[GroupByKey]]),(CountersTable[GroupByKey]=CountersTable[[#This Row],[GroupByKey]])*CountersTable[RecordedValue])),0)</f>
        <v>107.2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4.658325879540846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5.7840755365267524</v>
      </c>
      <c r="N3" cm="1">
        <f t="array" ref="N3">MIN(IF((CountersTable[GroupByKey]=CountersTable[[#This Row],[GroupByKey]]),(CountersTable[GroupByKey]=CountersTable[[#This Row],[GroupByKey]])*CountersTable[RecordedValue]))</f>
        <v>102</v>
      </c>
      <c r="O3" cm="1">
        <f t="array" ref="O3">MAX(IF((CountersTable[GroupByKey]=CountersTable[[#This Row],[GroupByKey]]),(CountersTable[GroupByKey]=CountersTable[[#This Row],[GroupByKey]])*CountersTable[RecordedValue]))</f>
        <v>114</v>
      </c>
    </row>
    <row r="4" spans="1:15" x14ac:dyDescent="0.3">
      <c r="A4" t="s">
        <v>66</v>
      </c>
      <c r="B4" t="s">
        <v>109</v>
      </c>
      <c r="C4">
        <v>2</v>
      </c>
      <c r="D4" t="s">
        <v>92</v>
      </c>
      <c r="E4" t="s">
        <v>93</v>
      </c>
      <c r="F4" t="s">
        <v>94</v>
      </c>
      <c r="G4">
        <v>0</v>
      </c>
      <c r="H4" t="str">
        <f>CountersTable[[#This Row],[ProjectName]]&amp;CountersTable[[#This Row],[Name]]&amp;CountersTable[[#This Row],[Type]]&amp;CountersTable[[#This Row],[Source]]</f>
        <v>Unnamed ProjectFailCountCountUser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5</v>
      </c>
      <c r="J4" cm="1">
        <f t="array" ref="J4">IFERROR(AVERAGE(IF((CountersTable[GroupByKey]=CountersTable[[#This Row],[GroupByKey]]),(CountersTable[GroupByKey]=CountersTable[[#This Row],[GroupByKey]])*CountersTable[RecordedValue])),0)</f>
        <v>0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0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" cm="1">
        <f t="array" ref="N4">MIN(IF((CountersTable[GroupByKey]=CountersTable[[#This Row],[GroupByKey]]),(CountersTable[GroupByKey]=CountersTable[[#This Row],[GroupByKey]])*CountersTable[RecordedValue]))</f>
        <v>0</v>
      </c>
      <c r="O4" cm="1">
        <f t="array" ref="O4">MAX(IF((CountersTable[GroupByKey]=CountersTable[[#This Row],[GroupByKey]]),(CountersTable[GroupByKey]=CountersTable[[#This Row],[GroupByKey]])*CountersTable[RecordedValue]))</f>
        <v>0</v>
      </c>
    </row>
    <row r="5" spans="1:15" x14ac:dyDescent="0.3">
      <c r="A5" t="s">
        <v>66</v>
      </c>
      <c r="B5" t="s">
        <v>109</v>
      </c>
      <c r="C5">
        <v>2</v>
      </c>
      <c r="D5" t="s">
        <v>95</v>
      </c>
      <c r="E5" t="s">
        <v>93</v>
      </c>
      <c r="F5" t="s">
        <v>94</v>
      </c>
      <c r="G5">
        <v>109</v>
      </c>
      <c r="H5" t="str">
        <f>CountersTable[[#This Row],[ProjectName]]&amp;CountersTable[[#This Row],[Name]]&amp;CountersTable[[#This Row],[Type]]&amp;CountersTable[[#This Row],[Source]]</f>
        <v>Unnamed ProjectSuccessCountCountUser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5</v>
      </c>
      <c r="J5" cm="1">
        <f t="array" ref="J5">IFERROR(AVERAGE(IF((CountersTable[GroupByKey]=CountersTable[[#This Row],[GroupByKey]]),(CountersTable[GroupByKey]=CountersTable[[#This Row],[GroupByKey]])*CountersTable[RecordedValue])),0)</f>
        <v>107.2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4.658325879540846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5.7840755365267524</v>
      </c>
      <c r="N5" cm="1">
        <f t="array" ref="N5">MIN(IF((CountersTable[GroupByKey]=CountersTable[[#This Row],[GroupByKey]]),(CountersTable[GroupByKey]=CountersTable[[#This Row],[GroupByKey]])*CountersTable[RecordedValue]))</f>
        <v>102</v>
      </c>
      <c r="O5" cm="1">
        <f t="array" ref="O5">MAX(IF((CountersTable[GroupByKey]=CountersTable[[#This Row],[GroupByKey]]),(CountersTable[GroupByKey]=CountersTable[[#This Row],[GroupByKey]])*CountersTable[RecordedValue]))</f>
        <v>114</v>
      </c>
    </row>
    <row r="6" spans="1:15" x14ac:dyDescent="0.3">
      <c r="A6" t="s">
        <v>66</v>
      </c>
      <c r="B6" t="s">
        <v>109</v>
      </c>
      <c r="C6">
        <v>3</v>
      </c>
      <c r="D6" t="s">
        <v>92</v>
      </c>
      <c r="E6" t="s">
        <v>93</v>
      </c>
      <c r="F6" t="s">
        <v>94</v>
      </c>
      <c r="G6">
        <v>0</v>
      </c>
      <c r="H6" t="str">
        <f>CountersTable[[#This Row],[ProjectName]]&amp;CountersTable[[#This Row],[Name]]&amp;CountersTable[[#This Row],[Type]]&amp;CountersTable[[#This Row],[Source]]</f>
        <v>Unnamed ProjectFailCountCountUser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5</v>
      </c>
      <c r="J6" cm="1">
        <f t="array" ref="J6">IFERROR(AVERAGE(IF((CountersTable[GroupByKey]=CountersTable[[#This Row],[GroupByKey]]),(CountersTable[GroupByKey]=CountersTable[[#This Row],[GroupByKey]])*CountersTable[RecordedValue])),0)</f>
        <v>0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0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" cm="1">
        <f t="array" ref="N6">MIN(IF((CountersTable[GroupByKey]=CountersTable[[#This Row],[GroupByKey]]),(CountersTable[GroupByKey]=CountersTable[[#This Row],[GroupByKey]])*CountersTable[RecordedValue]))</f>
        <v>0</v>
      </c>
      <c r="O6" cm="1">
        <f t="array" ref="O6">MAX(IF((CountersTable[GroupByKey]=CountersTable[[#This Row],[GroupByKey]]),(CountersTable[GroupByKey]=CountersTable[[#This Row],[GroupByKey]])*CountersTable[RecordedValue]))</f>
        <v>0</v>
      </c>
    </row>
    <row r="7" spans="1:15" x14ac:dyDescent="0.3">
      <c r="A7" t="s">
        <v>66</v>
      </c>
      <c r="B7" t="s">
        <v>109</v>
      </c>
      <c r="C7">
        <v>3</v>
      </c>
      <c r="D7" t="s">
        <v>95</v>
      </c>
      <c r="E7" t="s">
        <v>93</v>
      </c>
      <c r="F7" t="s">
        <v>94</v>
      </c>
      <c r="G7">
        <v>102</v>
      </c>
      <c r="H7" t="str">
        <f>CountersTable[[#This Row],[ProjectName]]&amp;CountersTable[[#This Row],[Name]]&amp;CountersTable[[#This Row],[Type]]&amp;CountersTable[[#This Row],[Source]]</f>
        <v>Unnamed ProjectSuccessCountCountUser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5</v>
      </c>
      <c r="J7" cm="1">
        <f t="array" ref="J7">IFERROR(AVERAGE(IF((CountersTable[GroupByKey]=CountersTable[[#This Row],[GroupByKey]]),(CountersTable[GroupByKey]=CountersTable[[#This Row],[GroupByKey]])*CountersTable[RecordedValue])),0)</f>
        <v>107.2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4.658325879540846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5.7840755365267524</v>
      </c>
      <c r="N7" cm="1">
        <f t="array" ref="N7">MIN(IF((CountersTable[GroupByKey]=CountersTable[[#This Row],[GroupByKey]]),(CountersTable[GroupByKey]=CountersTable[[#This Row],[GroupByKey]])*CountersTable[RecordedValue]))</f>
        <v>102</v>
      </c>
      <c r="O7" cm="1">
        <f t="array" ref="O7">MAX(IF((CountersTable[GroupByKey]=CountersTable[[#This Row],[GroupByKey]]),(CountersTable[GroupByKey]=CountersTable[[#This Row],[GroupByKey]])*CountersTable[RecordedValue]))</f>
        <v>114</v>
      </c>
    </row>
    <row r="8" spans="1:15" x14ac:dyDescent="0.3">
      <c r="A8" t="s">
        <v>66</v>
      </c>
      <c r="B8" t="s">
        <v>109</v>
      </c>
      <c r="C8">
        <v>4</v>
      </c>
      <c r="D8" t="s">
        <v>92</v>
      </c>
      <c r="E8" t="s">
        <v>93</v>
      </c>
      <c r="F8" t="s">
        <v>94</v>
      </c>
      <c r="G8">
        <v>0</v>
      </c>
      <c r="H8" t="str">
        <f>CountersTable[[#This Row],[ProjectName]]&amp;CountersTable[[#This Row],[Name]]&amp;CountersTable[[#This Row],[Type]]&amp;CountersTable[[#This Row],[Source]]</f>
        <v>Unnamed ProjectFailCountCountUser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5</v>
      </c>
      <c r="J8" cm="1">
        <f t="array" ref="J8">IFERROR(AVERAGE(IF((CountersTable[GroupByKey]=CountersTable[[#This Row],[GroupByKey]]),(CountersTable[GroupByKey]=CountersTable[[#This Row],[GroupByKey]])*CountersTable[RecordedValue])),0)</f>
        <v>0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0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8" cm="1">
        <f t="array" ref="N8">MIN(IF((CountersTable[GroupByKey]=CountersTable[[#This Row],[GroupByKey]]),(CountersTable[GroupByKey]=CountersTable[[#This Row],[GroupByKey]])*CountersTable[RecordedValue]))</f>
        <v>0</v>
      </c>
      <c r="O8" cm="1">
        <f t="array" ref="O8">MAX(IF((CountersTable[GroupByKey]=CountersTable[[#This Row],[GroupByKey]]),(CountersTable[GroupByKey]=CountersTable[[#This Row],[GroupByKey]])*CountersTable[RecordedValue]))</f>
        <v>0</v>
      </c>
    </row>
    <row r="9" spans="1:15" x14ac:dyDescent="0.3">
      <c r="A9" t="s">
        <v>66</v>
      </c>
      <c r="B9" t="s">
        <v>109</v>
      </c>
      <c r="C9">
        <v>4</v>
      </c>
      <c r="D9" t="s">
        <v>95</v>
      </c>
      <c r="E9" t="s">
        <v>93</v>
      </c>
      <c r="F9" t="s">
        <v>94</v>
      </c>
      <c r="G9">
        <v>114</v>
      </c>
      <c r="H9" t="str">
        <f>CountersTable[[#This Row],[ProjectName]]&amp;CountersTable[[#This Row],[Name]]&amp;CountersTable[[#This Row],[Type]]&amp;CountersTable[[#This Row],[Source]]</f>
        <v>Unnamed ProjectSuccessCountCountUser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5</v>
      </c>
      <c r="J9" cm="1">
        <f t="array" ref="J9">IFERROR(AVERAGE(IF((CountersTable[GroupByKey]=CountersTable[[#This Row],[GroupByKey]]),(CountersTable[GroupByKey]=CountersTable[[#This Row],[GroupByKey]])*CountersTable[RecordedValue])),0)</f>
        <v>107.2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4.658325879540846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5.7840755365267524</v>
      </c>
      <c r="N9" cm="1">
        <f t="array" ref="N9">MIN(IF((CountersTable[GroupByKey]=CountersTable[[#This Row],[GroupByKey]]),(CountersTable[GroupByKey]=CountersTable[[#This Row],[GroupByKey]])*CountersTable[RecordedValue]))</f>
        <v>102</v>
      </c>
      <c r="O9" cm="1">
        <f t="array" ref="O9">MAX(IF((CountersTable[GroupByKey]=CountersTable[[#This Row],[GroupByKey]]),(CountersTable[GroupByKey]=CountersTable[[#This Row],[GroupByKey]])*CountersTable[RecordedValue]))</f>
        <v>114</v>
      </c>
    </row>
    <row r="10" spans="1:15" x14ac:dyDescent="0.3">
      <c r="A10" t="s">
        <v>66</v>
      </c>
      <c r="B10" t="s">
        <v>109</v>
      </c>
      <c r="C10">
        <v>5</v>
      </c>
      <c r="D10" t="s">
        <v>92</v>
      </c>
      <c r="E10" t="s">
        <v>93</v>
      </c>
      <c r="F10" t="s">
        <v>94</v>
      </c>
      <c r="G10">
        <v>0</v>
      </c>
      <c r="H10" t="str">
        <f>CountersTable[[#This Row],[ProjectName]]&amp;CountersTable[[#This Row],[Name]]&amp;CountersTable[[#This Row],[Type]]&amp;CountersTable[[#This Row],[Source]]</f>
        <v>Unnamed ProjectFailCountCountUser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5</v>
      </c>
      <c r="J10" cm="1">
        <f t="array" ref="J10">IFERROR(AVERAGE(IF((CountersTable[GroupByKey]=CountersTable[[#This Row],[GroupByKey]]),(CountersTable[GroupByKey]=CountersTable[[#This Row],[GroupByKey]])*CountersTable[RecordedValue])),0)</f>
        <v>0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0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0" cm="1">
        <f t="array" ref="N10">MIN(IF((CountersTable[GroupByKey]=CountersTable[[#This Row],[GroupByKey]]),(CountersTable[GroupByKey]=CountersTable[[#This Row],[GroupByKey]])*CountersTable[RecordedValue]))</f>
        <v>0</v>
      </c>
      <c r="O10" cm="1">
        <f t="array" ref="O10">MAX(IF((CountersTable[GroupByKey]=CountersTable[[#This Row],[GroupByKey]]),(CountersTable[GroupByKey]=CountersTable[[#This Row],[GroupByKey]])*CountersTable[RecordedValue]))</f>
        <v>0</v>
      </c>
    </row>
    <row r="11" spans="1:15" x14ac:dyDescent="0.3">
      <c r="A11" t="s">
        <v>66</v>
      </c>
      <c r="B11" t="s">
        <v>109</v>
      </c>
      <c r="C11">
        <v>5</v>
      </c>
      <c r="D11" t="s">
        <v>95</v>
      </c>
      <c r="E11" t="s">
        <v>93</v>
      </c>
      <c r="F11" t="s">
        <v>94</v>
      </c>
      <c r="G11">
        <v>107</v>
      </c>
      <c r="H11" t="str">
        <f>CountersTable[[#This Row],[ProjectName]]&amp;CountersTable[[#This Row],[Name]]&amp;CountersTable[[#This Row],[Type]]&amp;CountersTable[[#This Row],[Source]]</f>
        <v>Unnamed ProjectSuccessCountCountUser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5</v>
      </c>
      <c r="J11" cm="1">
        <f t="array" ref="J11">IFERROR(AVERAGE(IF((CountersTable[GroupByKey]=CountersTable[[#This Row],[GroupByKey]]),(CountersTable[GroupByKey]=CountersTable[[#This Row],[GroupByKey]])*CountersTable[RecordedValue])),0)</f>
        <v>107.2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4.658325879540846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5.7840755365267524</v>
      </c>
      <c r="N11" cm="1">
        <f t="array" ref="N11">MIN(IF((CountersTable[GroupByKey]=CountersTable[[#This Row],[GroupByKey]]),(CountersTable[GroupByKey]=CountersTable[[#This Row],[GroupByKey]])*CountersTable[RecordedValue]))</f>
        <v>102</v>
      </c>
      <c r="O11" cm="1">
        <f t="array" ref="O11">MAX(IF((CountersTable[GroupByKey]=CountersTable[[#This Row],[GroupByKey]]),(CountersTable[GroupByKey]=CountersTable[[#This Row],[GroupByKey]])*CountersTable[RecordedValue]))</f>
        <v>114</v>
      </c>
    </row>
  </sheetData>
  <phoneticPr fontId="2" type="noConversion"/>
  <conditionalFormatting sqref="H2:O11">
    <cfRule type="expression" dxfId="13" priority="2">
      <formula>MOD(ROW(),2)=0</formula>
    </cfRule>
  </conditionalFormatting>
  <conditionalFormatting sqref="M2:M11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6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4.5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4.7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109</v>
      </c>
      <c r="C2">
        <v>1</v>
      </c>
      <c r="D2" t="s">
        <v>96</v>
      </c>
      <c r="E2" t="s">
        <v>97</v>
      </c>
      <c r="F2" t="s">
        <v>86</v>
      </c>
      <c r="G2">
        <v>133</v>
      </c>
      <c r="H2">
        <v>0</v>
      </c>
      <c r="I2" t="str">
        <f>OutputTable[[#This Row],[ProjectName]]&amp;OutputTable[[#This Row],[Name]]&amp;OutputTable[[#This Row],[Type]]&amp;OutputTable[[#This Row],[Source]]</f>
        <v>Unnamed ProjectInspectionResource.NumberSeizedTotal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136</v>
      </c>
      <c r="L2" cm="1">
        <f t="array" ref="L2">IFERROR(_xlfn.STDEV.S(IF((OutputTable[GroupByKey]=OutputTable[[#This Row],[GroupByKey]]),(OutputTable[GroupByKey]=OutputTable[[#This Row],[GroupByKey]])*OutputTable[RecordedValue])),0)</f>
        <v>1.7320508075688772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2" cm="1">
        <f t="array" ref="O2">MIN(IF((OutputTable[GroupByKey]=OutputTable[[#This Row],[GroupByKey]]),(OutputTable[GroupByKey]=OutputTable[[#This Row],[GroupByKey]])*OutputTable[RecordedValue]))</f>
        <v>133</v>
      </c>
      <c r="P2" cm="1">
        <f t="array" ref="P2">MAX(IF((OutputTable[GroupByKey]=OutputTable[[#This Row],[GroupByKey]]),(OutputTable[GroupByKey]=OutputTable[[#This Row],[GroupByKey]])*OutputTable[RecordedValue]))</f>
        <v>137</v>
      </c>
    </row>
    <row r="3" spans="1:16" x14ac:dyDescent="0.3">
      <c r="A3" t="s">
        <v>66</v>
      </c>
      <c r="B3" t="s">
        <v>109</v>
      </c>
      <c r="C3">
        <v>1</v>
      </c>
      <c r="D3" t="s">
        <v>98</v>
      </c>
      <c r="E3" t="s">
        <v>99</v>
      </c>
      <c r="F3" t="s">
        <v>86</v>
      </c>
      <c r="G3">
        <v>0.39701492537313399</v>
      </c>
      <c r="H3">
        <v>0</v>
      </c>
      <c r="I3" t="str">
        <f>OutputTable[[#This Row],[ProjectName]]&amp;OutputTable[[#This Row],[Name]]&amp;OutputTable[[#This Row],[Type]]&amp;OutputTable[[#This Row],[Source]]</f>
        <v>Unnamed ProjectInspectionResource.ScheduledUtilizationScheduled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0.40587440603092595</v>
      </c>
      <c r="L3" cm="1">
        <f t="array" ref="L3">IFERROR(_xlfn.STDEV.S(IF((OutputTable[GroupByKey]=OutputTable[[#This Row],[GroupByKey]]),(OutputTable[GroupByKey]=OutputTable[[#This Row],[GroupByKey]])*OutputTable[RecordedValue])),0)</f>
        <v>5.2524152446658907E-3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6.5217349129182509E-3</v>
      </c>
      <c r="O3" cm="1">
        <f t="array" ref="O3">MIN(IF((OutputTable[GroupByKey]=OutputTable[[#This Row],[GroupByKey]]),(OutputTable[GroupByKey]=OutputTable[[#This Row],[GroupByKey]])*OutputTable[RecordedValue]))</f>
        <v>0.39701492537313399</v>
      </c>
      <c r="P3" cm="1">
        <f t="array" ref="P3">MAX(IF((OutputTable[GroupByKey]=OutputTable[[#This Row],[GroupByKey]]),(OutputTable[GroupByKey]=OutputTable[[#This Row],[GroupByKey]])*OutputTable[RecordedValue]))</f>
        <v>0.410403651375776</v>
      </c>
    </row>
    <row r="4" spans="1:16" x14ac:dyDescent="0.3">
      <c r="A4" t="s">
        <v>66</v>
      </c>
      <c r="B4" t="s">
        <v>109</v>
      </c>
      <c r="C4">
        <v>1</v>
      </c>
      <c r="D4" t="s">
        <v>100</v>
      </c>
      <c r="E4" t="s">
        <v>97</v>
      </c>
      <c r="F4" t="s">
        <v>86</v>
      </c>
      <c r="G4">
        <v>133</v>
      </c>
      <c r="H4">
        <v>0</v>
      </c>
      <c r="I4" t="str">
        <f>OutputTable[[#This Row],[ProjectName]]&amp;OutputTable[[#This Row],[Name]]&amp;OutputTable[[#This Row],[Type]]&amp;OutputTable[[#This Row],[Source]]</f>
        <v>Unnamed ProjectMachine.NumberSeizedTotal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136</v>
      </c>
      <c r="L4" cm="1">
        <f t="array" ref="L4">IFERROR(_xlfn.STDEV.S(IF((OutputTable[GroupByKey]=OutputTable[[#This Row],[GroupByKey]]),(OutputTable[GroupByKey]=OutputTable[[#This Row],[GroupByKey]])*OutputTable[RecordedValue])),0)</f>
        <v>1.7320508075688772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4" cm="1">
        <f t="array" ref="O4">MIN(IF((OutputTable[GroupByKey]=OutputTable[[#This Row],[GroupByKey]]),(OutputTable[GroupByKey]=OutputTable[[#This Row],[GroupByKey]])*OutputTable[RecordedValue]))</f>
        <v>133</v>
      </c>
      <c r="P4" cm="1">
        <f t="array" ref="P4">MAX(IF((OutputTable[GroupByKey]=OutputTable[[#This Row],[GroupByKey]]),(OutputTable[GroupByKey]=OutputTable[[#This Row],[GroupByKey]])*OutputTable[RecordedValue]))</f>
        <v>137</v>
      </c>
    </row>
    <row r="5" spans="1:16" x14ac:dyDescent="0.3">
      <c r="A5" t="s">
        <v>66</v>
      </c>
      <c r="B5" t="s">
        <v>109</v>
      </c>
      <c r="C5">
        <v>1</v>
      </c>
      <c r="D5" t="s">
        <v>101</v>
      </c>
      <c r="E5" t="s">
        <v>99</v>
      </c>
      <c r="F5" t="s">
        <v>86</v>
      </c>
      <c r="G5">
        <v>1</v>
      </c>
      <c r="H5">
        <v>0</v>
      </c>
      <c r="I5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1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">
      <c r="A6" t="s">
        <v>66</v>
      </c>
      <c r="B6" t="s">
        <v>109</v>
      </c>
      <c r="C6">
        <v>1</v>
      </c>
      <c r="D6" t="s">
        <v>102</v>
      </c>
      <c r="E6" t="s">
        <v>103</v>
      </c>
      <c r="F6" t="s">
        <v>77</v>
      </c>
      <c r="G6">
        <v>232</v>
      </c>
      <c r="H6">
        <v>0</v>
      </c>
      <c r="I6" t="str">
        <f>OutputTable[[#This Row],[ProjectName]]&amp;OutputTable[[#This Row],[Name]]&amp;OutputTable[[#This Row],[Type]]&amp;OutputTable[[#This Row],[Source]]</f>
        <v>Unnamed ProjectPart.NumberInNumber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256.60000000000002</v>
      </c>
      <c r="L6" cm="1">
        <f t="array" ref="L6">IFERROR(_xlfn.STDEV.S(IF((OutputTable[GroupByKey]=OutputTable[[#This Row],[GroupByKey]]),(OutputTable[GroupByKey]=OutputTable[[#This Row],[GroupByKey]])*OutputTable[RecordedValue])),0)</f>
        <v>20.007498594277099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24.842590698626289</v>
      </c>
      <c r="O6" cm="1">
        <f t="array" ref="O6">MIN(IF((OutputTable[GroupByKey]=OutputTable[[#This Row],[GroupByKey]]),(OutputTable[GroupByKey]=OutputTable[[#This Row],[GroupByKey]])*OutputTable[RecordedValue]))</f>
        <v>232</v>
      </c>
      <c r="P6" cm="1">
        <f t="array" ref="P6">MAX(IF((OutputTable[GroupByKey]=OutputTable[[#This Row],[GroupByKey]]),(OutputTable[GroupByKey]=OutputTable[[#This Row],[GroupByKey]])*OutputTable[RecordedValue]))</f>
        <v>284</v>
      </c>
    </row>
    <row r="7" spans="1:16" x14ac:dyDescent="0.3">
      <c r="A7" t="s">
        <v>66</v>
      </c>
      <c r="B7" t="s">
        <v>109</v>
      </c>
      <c r="C7">
        <v>1</v>
      </c>
      <c r="D7" t="s">
        <v>104</v>
      </c>
      <c r="E7" t="s">
        <v>105</v>
      </c>
      <c r="F7" t="s">
        <v>77</v>
      </c>
      <c r="G7">
        <v>233</v>
      </c>
      <c r="H7">
        <v>0</v>
      </c>
      <c r="I7" t="str">
        <f>OutputTable[[#This Row],[ProjectName]]&amp;OutputTable[[#This Row],[Name]]&amp;OutputTable[[#This Row],[Type]]&amp;OutputTable[[#This Row],[Source]]</f>
        <v>Unnamed ProjectPart.NumberOutNumber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256</v>
      </c>
      <c r="L7" cm="1">
        <f t="array" ref="L7">IFERROR(_xlfn.STDEV.S(IF((OutputTable[GroupByKey]=OutputTable[[#This Row],[GroupByKey]]),(OutputTable[GroupByKey]=OutputTable[[#This Row],[GroupByKey]])*OutputTable[RecordedValue])),0)</f>
        <v>18.708286933869708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7" cm="1">
        <f t="array" ref="O7">MIN(IF((OutputTable[GroupByKey]=OutputTable[[#This Row],[GroupByKey]]),(OutputTable[GroupByKey]=OutputTable[[#This Row],[GroupByKey]])*OutputTable[RecordedValue]))</f>
        <v>233</v>
      </c>
      <c r="P7" cm="1">
        <f t="array" ref="P7">MAX(IF((OutputTable[GroupByKey]=OutputTable[[#This Row],[GroupByKey]]),(OutputTable[GroupByKey]=OutputTable[[#This Row],[GroupByKey]])*OutputTable[RecordedValue]))</f>
        <v>281</v>
      </c>
    </row>
    <row r="8" spans="1:16" x14ac:dyDescent="0.3">
      <c r="A8" t="s">
        <v>66</v>
      </c>
      <c r="B8" t="s">
        <v>109</v>
      </c>
      <c r="C8">
        <v>1</v>
      </c>
      <c r="D8" t="s">
        <v>106</v>
      </c>
      <c r="E8" t="s">
        <v>105</v>
      </c>
      <c r="F8" t="s">
        <v>107</v>
      </c>
      <c r="G8">
        <v>233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256</v>
      </c>
      <c r="L8" cm="1">
        <f t="array" ref="L8">IFERROR(_xlfn.STDEV.S(IF((OutputTable[GroupByKey]=OutputTable[[#This Row],[GroupByKey]]),(OutputTable[GroupByKey]=OutputTable[[#This Row],[GroupByKey]])*OutputTable[RecordedValue])),0)</f>
        <v>18.708286933869708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8" cm="1">
        <f t="array" ref="O8">MIN(IF((OutputTable[GroupByKey]=OutputTable[[#This Row],[GroupByKey]]),(OutputTable[GroupByKey]=OutputTable[[#This Row],[GroupByKey]])*OutputTable[RecordedValue]))</f>
        <v>233</v>
      </c>
      <c r="P8" cm="1">
        <f t="array" ref="P8">MAX(IF((OutputTable[GroupByKey]=OutputTable[[#This Row],[GroupByKey]]),(OutputTable[GroupByKey]=OutputTable[[#This Row],[GroupByKey]])*OutputTable[RecordedValue]))</f>
        <v>281</v>
      </c>
    </row>
    <row r="9" spans="1:16" x14ac:dyDescent="0.3">
      <c r="A9" t="s">
        <v>66</v>
      </c>
      <c r="B9" t="s">
        <v>109</v>
      </c>
      <c r="C9">
        <v>2</v>
      </c>
      <c r="D9" t="s">
        <v>96</v>
      </c>
      <c r="E9" t="s">
        <v>97</v>
      </c>
      <c r="F9" t="s">
        <v>86</v>
      </c>
      <c r="G9">
        <v>137</v>
      </c>
      <c r="H9">
        <v>0</v>
      </c>
      <c r="I9" t="str">
        <f>OutputTable[[#This Row],[ProjectName]]&amp;OutputTable[[#This Row],[Name]]&amp;OutputTable[[#This Row],[Type]]&amp;OutputTable[[#This Row],[Source]]</f>
        <v>Unnamed ProjectInspectionResource.NumberSeizedTotal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136</v>
      </c>
      <c r="L9" cm="1">
        <f t="array" ref="L9">IFERROR(_xlfn.STDEV.S(IF((OutputTable[GroupByKey]=OutputTable[[#This Row],[GroupByKey]]),(OutputTable[GroupByKey]=OutputTable[[#This Row],[GroupByKey]])*OutputTable[RecordedValue])),0)</f>
        <v>1.7320508075688772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9" cm="1">
        <f t="array" ref="O9">MIN(IF((OutputTable[GroupByKey]=OutputTable[[#This Row],[GroupByKey]]),(OutputTable[GroupByKey]=OutputTable[[#This Row],[GroupByKey]])*OutputTable[RecordedValue]))</f>
        <v>133</v>
      </c>
      <c r="P9" cm="1">
        <f t="array" ref="P9">MAX(IF((OutputTable[GroupByKey]=OutputTable[[#This Row],[GroupByKey]]),(OutputTable[GroupByKey]=OutputTable[[#This Row],[GroupByKey]])*OutputTable[RecordedValue]))</f>
        <v>137</v>
      </c>
    </row>
    <row r="10" spans="1:16" x14ac:dyDescent="0.3">
      <c r="A10" t="s">
        <v>66</v>
      </c>
      <c r="B10" t="s">
        <v>109</v>
      </c>
      <c r="C10">
        <v>2</v>
      </c>
      <c r="D10" t="s">
        <v>98</v>
      </c>
      <c r="E10" t="s">
        <v>99</v>
      </c>
      <c r="F10" t="s">
        <v>86</v>
      </c>
      <c r="G10">
        <v>0.407232273022538</v>
      </c>
      <c r="H10">
        <v>0</v>
      </c>
      <c r="I10" t="str">
        <f>OutputTable[[#This Row],[ProjectName]]&amp;OutputTable[[#This Row],[Name]]&amp;OutputTable[[#This Row],[Type]]&amp;OutputTable[[#This Row],[Source]]</f>
        <v>Unnamed ProjectInspectionResource.ScheduledUtilizationScheduled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0.40587440603092595</v>
      </c>
      <c r="L10" cm="1">
        <f t="array" ref="L10">IFERROR(_xlfn.STDEV.S(IF((OutputTable[GroupByKey]=OutputTable[[#This Row],[GroupByKey]]),(OutputTable[GroupByKey]=OutputTable[[#This Row],[GroupByKey]])*OutputTable[RecordedValue])),0)</f>
        <v>5.2524152446658907E-3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6.5217349129182509E-3</v>
      </c>
      <c r="O10" cm="1">
        <f t="array" ref="O10">MIN(IF((OutputTable[GroupByKey]=OutputTable[[#This Row],[GroupByKey]]),(OutputTable[GroupByKey]=OutputTable[[#This Row],[GroupByKey]])*OutputTable[RecordedValue]))</f>
        <v>0.39701492537313399</v>
      </c>
      <c r="P10" cm="1">
        <f t="array" ref="P10">MAX(IF((OutputTable[GroupByKey]=OutputTable[[#This Row],[GroupByKey]]),(OutputTable[GroupByKey]=OutputTable[[#This Row],[GroupByKey]])*OutputTable[RecordedValue]))</f>
        <v>0.410403651375776</v>
      </c>
    </row>
    <row r="11" spans="1:16" x14ac:dyDescent="0.3">
      <c r="A11" t="s">
        <v>66</v>
      </c>
      <c r="B11" t="s">
        <v>109</v>
      </c>
      <c r="C11">
        <v>2</v>
      </c>
      <c r="D11" t="s">
        <v>100</v>
      </c>
      <c r="E11" t="s">
        <v>97</v>
      </c>
      <c r="F11" t="s">
        <v>86</v>
      </c>
      <c r="G11">
        <v>137</v>
      </c>
      <c r="H11">
        <v>0</v>
      </c>
      <c r="I11" t="str">
        <f>OutputTable[[#This Row],[ProjectName]]&amp;OutputTable[[#This Row],[Name]]&amp;OutputTable[[#This Row],[Type]]&amp;OutputTable[[#This Row],[Source]]</f>
        <v>Unnamed ProjectMachine.NumberSeizedTotal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136</v>
      </c>
      <c r="L11" cm="1">
        <f t="array" ref="L11">IFERROR(_xlfn.STDEV.S(IF((OutputTable[GroupByKey]=OutputTable[[#This Row],[GroupByKey]]),(OutputTable[GroupByKey]=OutputTable[[#This Row],[GroupByKey]])*OutputTable[RecordedValue])),0)</f>
        <v>1.7320508075688772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11" cm="1">
        <f t="array" ref="O11">MIN(IF((OutputTable[GroupByKey]=OutputTable[[#This Row],[GroupByKey]]),(OutputTable[GroupByKey]=OutputTable[[#This Row],[GroupByKey]])*OutputTable[RecordedValue]))</f>
        <v>133</v>
      </c>
      <c r="P11" cm="1">
        <f t="array" ref="P11">MAX(IF((OutputTable[GroupByKey]=OutputTable[[#This Row],[GroupByKey]]),(OutputTable[GroupByKey]=OutputTable[[#This Row],[GroupByKey]])*OutputTable[RecordedValue]))</f>
        <v>137</v>
      </c>
    </row>
    <row r="12" spans="1:16" x14ac:dyDescent="0.3">
      <c r="A12" t="s">
        <v>66</v>
      </c>
      <c r="B12" t="s">
        <v>109</v>
      </c>
      <c r="C12">
        <v>2</v>
      </c>
      <c r="D12" t="s">
        <v>101</v>
      </c>
      <c r="E12" t="s">
        <v>99</v>
      </c>
      <c r="F12" t="s">
        <v>86</v>
      </c>
      <c r="G12">
        <v>1</v>
      </c>
      <c r="H12">
        <v>0</v>
      </c>
      <c r="I12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" cm="1">
        <f t="array" ref="O12">MIN(IF((OutputTable[GroupByKey]=OutputTable[[#This Row],[GroupByKey]]),(OutputTable[GroupByKey]=OutputTable[[#This Row],[GroupByKey]])*OutputTable[RecordedValue]))</f>
        <v>1</v>
      </c>
      <c r="P12" cm="1">
        <f t="array" ref="P12">MAX(IF((OutputTable[GroupByKey]=OutputTable[[#This Row],[GroupByKey]]),(OutputTable[GroupByKey]=OutputTable[[#This Row],[GroupByKey]])*OutputTable[RecordedValue]))</f>
        <v>1</v>
      </c>
    </row>
    <row r="13" spans="1:16" x14ac:dyDescent="0.3">
      <c r="A13" t="s">
        <v>66</v>
      </c>
      <c r="B13" t="s">
        <v>109</v>
      </c>
      <c r="C13">
        <v>2</v>
      </c>
      <c r="D13" t="s">
        <v>102</v>
      </c>
      <c r="E13" t="s">
        <v>103</v>
      </c>
      <c r="F13" t="s">
        <v>77</v>
      </c>
      <c r="G13">
        <v>284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256.60000000000002</v>
      </c>
      <c r="L13" cm="1">
        <f t="array" ref="L13">IFERROR(_xlfn.STDEV.S(IF((OutputTable[GroupByKey]=OutputTable[[#This Row],[GroupByKey]]),(OutputTable[GroupByKey]=OutputTable[[#This Row],[GroupByKey]])*OutputTable[RecordedValue])),0)</f>
        <v>20.007498594277099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24.842590698626289</v>
      </c>
      <c r="O13" cm="1">
        <f t="array" ref="O13">MIN(IF((OutputTable[GroupByKey]=OutputTable[[#This Row],[GroupByKey]]),(OutputTable[GroupByKey]=OutputTable[[#This Row],[GroupByKey]])*OutputTable[RecordedValue]))</f>
        <v>232</v>
      </c>
      <c r="P13" cm="1">
        <f t="array" ref="P13">MAX(IF((OutputTable[GroupByKey]=OutputTable[[#This Row],[GroupByKey]]),(OutputTable[GroupByKey]=OutputTable[[#This Row],[GroupByKey]])*OutputTable[RecordedValue]))</f>
        <v>284</v>
      </c>
    </row>
    <row r="14" spans="1:16" x14ac:dyDescent="0.3">
      <c r="A14" t="s">
        <v>66</v>
      </c>
      <c r="B14" t="s">
        <v>109</v>
      </c>
      <c r="C14">
        <v>2</v>
      </c>
      <c r="D14" t="s">
        <v>104</v>
      </c>
      <c r="E14" t="s">
        <v>105</v>
      </c>
      <c r="F14" t="s">
        <v>77</v>
      </c>
      <c r="G14">
        <v>281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256</v>
      </c>
      <c r="L14" cm="1">
        <f t="array" ref="L14">IFERROR(_xlfn.STDEV.S(IF((OutputTable[GroupByKey]=OutputTable[[#This Row],[GroupByKey]]),(OutputTable[GroupByKey]=OutputTable[[#This Row],[GroupByKey]])*OutputTable[RecordedValue])),0)</f>
        <v>18.708286933869708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14" cm="1">
        <f t="array" ref="O14">MIN(IF((OutputTable[GroupByKey]=OutputTable[[#This Row],[GroupByKey]]),(OutputTable[GroupByKey]=OutputTable[[#This Row],[GroupByKey]])*OutputTable[RecordedValue]))</f>
        <v>233</v>
      </c>
      <c r="P14" cm="1">
        <f t="array" ref="P14">MAX(IF((OutputTable[GroupByKey]=OutputTable[[#This Row],[GroupByKey]]),(OutputTable[GroupByKey]=OutputTable[[#This Row],[GroupByKey]])*OutputTable[RecordedValue]))</f>
        <v>281</v>
      </c>
    </row>
    <row r="15" spans="1:16" x14ac:dyDescent="0.3">
      <c r="A15" t="s">
        <v>66</v>
      </c>
      <c r="B15" t="s">
        <v>109</v>
      </c>
      <c r="C15">
        <v>2</v>
      </c>
      <c r="D15" t="s">
        <v>106</v>
      </c>
      <c r="E15" t="s">
        <v>105</v>
      </c>
      <c r="F15" t="s">
        <v>107</v>
      </c>
      <c r="G15">
        <v>281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256</v>
      </c>
      <c r="L15" cm="1">
        <f t="array" ref="L15">IFERROR(_xlfn.STDEV.S(IF((OutputTable[GroupByKey]=OutputTable[[#This Row],[GroupByKey]]),(OutputTable[GroupByKey]=OutputTable[[#This Row],[GroupByKey]])*OutputTable[RecordedValue])),0)</f>
        <v>18.708286933869708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15" cm="1">
        <f t="array" ref="O15">MIN(IF((OutputTable[GroupByKey]=OutputTable[[#This Row],[GroupByKey]]),(OutputTable[GroupByKey]=OutputTable[[#This Row],[GroupByKey]])*OutputTable[RecordedValue]))</f>
        <v>233</v>
      </c>
      <c r="P15" cm="1">
        <f t="array" ref="P15">MAX(IF((OutputTable[GroupByKey]=OutputTable[[#This Row],[GroupByKey]]),(OutputTable[GroupByKey]=OutputTable[[#This Row],[GroupByKey]])*OutputTable[RecordedValue]))</f>
        <v>281</v>
      </c>
    </row>
    <row r="16" spans="1:16" x14ac:dyDescent="0.3">
      <c r="A16" t="s">
        <v>66</v>
      </c>
      <c r="B16" t="s">
        <v>109</v>
      </c>
      <c r="C16">
        <v>3</v>
      </c>
      <c r="D16" t="s">
        <v>96</v>
      </c>
      <c r="E16" t="s">
        <v>97</v>
      </c>
      <c r="F16" t="s">
        <v>86</v>
      </c>
      <c r="G16">
        <v>137</v>
      </c>
      <c r="H16">
        <v>0</v>
      </c>
      <c r="I16" t="str">
        <f>OutputTable[[#This Row],[ProjectName]]&amp;OutputTable[[#This Row],[Name]]&amp;OutputTable[[#This Row],[Type]]&amp;OutputTable[[#This Row],[Source]]</f>
        <v>Unnamed ProjectInspectionResource.NumberSeizedTotal Number SeizedResource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136</v>
      </c>
      <c r="L16" cm="1">
        <f t="array" ref="L16">IFERROR(_xlfn.STDEV.S(IF((OutputTable[GroupByKey]=OutputTable[[#This Row],[GroupByKey]]),(OutputTable[GroupByKey]=OutputTable[[#This Row],[GroupByKey]])*OutputTable[RecordedValue])),0)</f>
        <v>1.7320508075688772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16" cm="1">
        <f t="array" ref="O16">MIN(IF((OutputTable[GroupByKey]=OutputTable[[#This Row],[GroupByKey]]),(OutputTable[GroupByKey]=OutputTable[[#This Row],[GroupByKey]])*OutputTable[RecordedValue]))</f>
        <v>133</v>
      </c>
      <c r="P16" cm="1">
        <f t="array" ref="P16">MAX(IF((OutputTable[GroupByKey]=OutputTable[[#This Row],[GroupByKey]]),(OutputTable[GroupByKey]=OutputTable[[#This Row],[GroupByKey]])*OutputTable[RecordedValue]))</f>
        <v>137</v>
      </c>
    </row>
    <row r="17" spans="1:16" x14ac:dyDescent="0.3">
      <c r="A17" t="s">
        <v>66</v>
      </c>
      <c r="B17" t="s">
        <v>109</v>
      </c>
      <c r="C17">
        <v>3</v>
      </c>
      <c r="D17" t="s">
        <v>98</v>
      </c>
      <c r="E17" t="s">
        <v>99</v>
      </c>
      <c r="F17" t="s">
        <v>86</v>
      </c>
      <c r="G17">
        <v>0.410403651375776</v>
      </c>
      <c r="H17">
        <v>0</v>
      </c>
      <c r="I17" t="str">
        <f>OutputTable[[#This Row],[ProjectName]]&amp;OutputTable[[#This Row],[Name]]&amp;OutputTable[[#This Row],[Type]]&amp;OutputTable[[#This Row],[Source]]</f>
        <v>Unnamed ProjectInspectionResource.ScheduledUtilizationScheduled UtilizationResource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0.40587440603092595</v>
      </c>
      <c r="L17" cm="1">
        <f t="array" ref="L17">IFERROR(_xlfn.STDEV.S(IF((OutputTable[GroupByKey]=OutputTable[[#This Row],[GroupByKey]]),(OutputTable[GroupByKey]=OutputTable[[#This Row],[GroupByKey]])*OutputTable[RecordedValue])),0)</f>
        <v>5.2524152446658907E-3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6.5217349129182509E-3</v>
      </c>
      <c r="O17" cm="1">
        <f t="array" ref="O17">MIN(IF((OutputTable[GroupByKey]=OutputTable[[#This Row],[GroupByKey]]),(OutputTable[GroupByKey]=OutputTable[[#This Row],[GroupByKey]])*OutputTable[RecordedValue]))</f>
        <v>0.39701492537313399</v>
      </c>
      <c r="P17" cm="1">
        <f t="array" ref="P17">MAX(IF((OutputTable[GroupByKey]=OutputTable[[#This Row],[GroupByKey]]),(OutputTable[GroupByKey]=OutputTable[[#This Row],[GroupByKey]])*OutputTable[RecordedValue]))</f>
        <v>0.410403651375776</v>
      </c>
    </row>
    <row r="18" spans="1:16" x14ac:dyDescent="0.3">
      <c r="A18" t="s">
        <v>66</v>
      </c>
      <c r="B18" t="s">
        <v>109</v>
      </c>
      <c r="C18">
        <v>3</v>
      </c>
      <c r="D18" t="s">
        <v>100</v>
      </c>
      <c r="E18" t="s">
        <v>97</v>
      </c>
      <c r="F18" t="s">
        <v>86</v>
      </c>
      <c r="G18">
        <v>137</v>
      </c>
      <c r="H18">
        <v>0</v>
      </c>
      <c r="I18" t="str">
        <f>OutputTable[[#This Row],[ProjectName]]&amp;OutputTable[[#This Row],[Name]]&amp;OutputTable[[#This Row],[Type]]&amp;OutputTable[[#This Row],[Source]]</f>
        <v>Unnamed ProjectMachine.NumberSeizedTotal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136</v>
      </c>
      <c r="L18" cm="1">
        <f t="array" ref="L18">IFERROR(_xlfn.STDEV.S(IF((OutputTable[GroupByKey]=OutputTable[[#This Row],[GroupByKey]]),(OutputTable[GroupByKey]=OutputTable[[#This Row],[GroupByKey]])*OutputTable[RecordedValue])),0)</f>
        <v>1.7320508075688772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18" cm="1">
        <f t="array" ref="O18">MIN(IF((OutputTable[GroupByKey]=OutputTable[[#This Row],[GroupByKey]]),(OutputTable[GroupByKey]=OutputTable[[#This Row],[GroupByKey]])*OutputTable[RecordedValue]))</f>
        <v>133</v>
      </c>
      <c r="P18" cm="1">
        <f t="array" ref="P18">MAX(IF((OutputTable[GroupByKey]=OutputTable[[#This Row],[GroupByKey]]),(OutputTable[GroupByKey]=OutputTable[[#This Row],[GroupByKey]])*OutputTable[RecordedValue]))</f>
        <v>137</v>
      </c>
    </row>
    <row r="19" spans="1:16" x14ac:dyDescent="0.3">
      <c r="A19" t="s">
        <v>66</v>
      </c>
      <c r="B19" t="s">
        <v>109</v>
      </c>
      <c r="C19">
        <v>3</v>
      </c>
      <c r="D19" t="s">
        <v>101</v>
      </c>
      <c r="E19" t="s">
        <v>99</v>
      </c>
      <c r="F19" t="s">
        <v>86</v>
      </c>
      <c r="G19">
        <v>1</v>
      </c>
      <c r="H19">
        <v>0</v>
      </c>
      <c r="I19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1</v>
      </c>
      <c r="P19" cm="1">
        <f t="array" ref="P19">MAX(IF((OutputTable[GroupByKey]=OutputTable[[#This Row],[GroupByKey]]),(OutputTable[GroupByKey]=OutputTable[[#This Row],[GroupByKey]])*OutputTable[RecordedValue]))</f>
        <v>1</v>
      </c>
    </row>
    <row r="20" spans="1:16" x14ac:dyDescent="0.3">
      <c r="A20" t="s">
        <v>66</v>
      </c>
      <c r="B20" t="s">
        <v>109</v>
      </c>
      <c r="C20">
        <v>3</v>
      </c>
      <c r="D20" t="s">
        <v>102</v>
      </c>
      <c r="E20" t="s">
        <v>103</v>
      </c>
      <c r="F20" t="s">
        <v>77</v>
      </c>
      <c r="G20">
        <v>245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ProjectPart.NumberInNumber InEntity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256.60000000000002</v>
      </c>
      <c r="L20" cm="1">
        <f t="array" ref="L20">IFERROR(_xlfn.STDEV.S(IF((OutputTable[GroupByKey]=OutputTable[[#This Row],[GroupByKey]]),(OutputTable[GroupByKey]=OutputTable[[#This Row],[GroupByKey]])*OutputTable[RecordedValue])),0)</f>
        <v>20.007498594277099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24.842590698626289</v>
      </c>
      <c r="O20" cm="1">
        <f t="array" ref="O20">MIN(IF((OutputTable[GroupByKey]=OutputTable[[#This Row],[GroupByKey]]),(OutputTable[GroupByKey]=OutputTable[[#This Row],[GroupByKey]])*OutputTable[RecordedValue]))</f>
        <v>232</v>
      </c>
      <c r="P20" cm="1">
        <f t="array" ref="P20">MAX(IF((OutputTable[GroupByKey]=OutputTable[[#This Row],[GroupByKey]]),(OutputTable[GroupByKey]=OutputTable[[#This Row],[GroupByKey]])*OutputTable[RecordedValue]))</f>
        <v>284</v>
      </c>
    </row>
    <row r="21" spans="1:16" x14ac:dyDescent="0.3">
      <c r="A21" t="s">
        <v>66</v>
      </c>
      <c r="B21" t="s">
        <v>109</v>
      </c>
      <c r="C21">
        <v>3</v>
      </c>
      <c r="D21" t="s">
        <v>104</v>
      </c>
      <c r="E21" t="s">
        <v>105</v>
      </c>
      <c r="F21" t="s">
        <v>77</v>
      </c>
      <c r="G21">
        <v>245</v>
      </c>
      <c r="H21">
        <v>0</v>
      </c>
      <c r="I21" t="str">
        <f>OutputTable[[#This Row],[ProjectName]]&amp;OutputTable[[#This Row],[Name]]&amp;OutputTable[[#This Row],[Type]]&amp;OutputTable[[#This Row],[Source]]</f>
        <v>Unnamed ProjectPart.NumberOutNumber OutEntity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256</v>
      </c>
      <c r="L21" cm="1">
        <f t="array" ref="L21">IFERROR(_xlfn.STDEV.S(IF((OutputTable[GroupByKey]=OutputTable[[#This Row],[GroupByKey]]),(OutputTable[GroupByKey]=OutputTable[[#This Row],[GroupByKey]])*OutputTable[RecordedValue])),0)</f>
        <v>18.708286933869708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21" cm="1">
        <f t="array" ref="O21">MIN(IF((OutputTable[GroupByKey]=OutputTable[[#This Row],[GroupByKey]]),(OutputTable[GroupByKey]=OutputTable[[#This Row],[GroupByKey]])*OutputTable[RecordedValue]))</f>
        <v>233</v>
      </c>
      <c r="P21" cm="1">
        <f t="array" ref="P21">MAX(IF((OutputTable[GroupByKey]=OutputTable[[#This Row],[GroupByKey]]),(OutputTable[GroupByKey]=OutputTable[[#This Row],[GroupByKey]])*OutputTable[RecordedValue]))</f>
        <v>281</v>
      </c>
    </row>
    <row r="22" spans="1:16" x14ac:dyDescent="0.3">
      <c r="A22" t="s">
        <v>66</v>
      </c>
      <c r="B22" t="s">
        <v>109</v>
      </c>
      <c r="C22">
        <v>3</v>
      </c>
      <c r="D22" t="s">
        <v>106</v>
      </c>
      <c r="E22" t="s">
        <v>105</v>
      </c>
      <c r="F22" t="s">
        <v>107</v>
      </c>
      <c r="G22">
        <v>245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256</v>
      </c>
      <c r="L22" cm="1">
        <f t="array" ref="L22">IFERROR(_xlfn.STDEV.S(IF((OutputTable[GroupByKey]=OutputTable[[#This Row],[GroupByKey]]),(OutputTable[GroupByKey]=OutputTable[[#This Row],[GroupByKey]])*OutputTable[RecordedValue])),0)</f>
        <v>18.708286933869708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22" cm="1">
        <f t="array" ref="O22">MIN(IF((OutputTable[GroupByKey]=OutputTable[[#This Row],[GroupByKey]]),(OutputTable[GroupByKey]=OutputTable[[#This Row],[GroupByKey]])*OutputTable[RecordedValue]))</f>
        <v>233</v>
      </c>
      <c r="P22" cm="1">
        <f t="array" ref="P22">MAX(IF((OutputTable[GroupByKey]=OutputTable[[#This Row],[GroupByKey]]),(OutputTable[GroupByKey]=OutputTable[[#This Row],[GroupByKey]])*OutputTable[RecordedValue]))</f>
        <v>281</v>
      </c>
    </row>
    <row r="23" spans="1:16" x14ac:dyDescent="0.3">
      <c r="A23" t="s">
        <v>66</v>
      </c>
      <c r="B23" t="s">
        <v>109</v>
      </c>
      <c r="C23">
        <v>4</v>
      </c>
      <c r="D23" t="s">
        <v>96</v>
      </c>
      <c r="E23" t="s">
        <v>97</v>
      </c>
      <c r="F23" t="s">
        <v>86</v>
      </c>
      <c r="G23">
        <v>137</v>
      </c>
      <c r="H23">
        <v>0</v>
      </c>
      <c r="I23" t="str">
        <f>OutputTable[[#This Row],[ProjectName]]&amp;OutputTable[[#This Row],[Name]]&amp;OutputTable[[#This Row],[Type]]&amp;OutputTable[[#This Row],[Source]]</f>
        <v>Unnamed ProjectInspectionResource.NumberSeizedTotal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136</v>
      </c>
      <c r="L23" cm="1">
        <f t="array" ref="L23">IFERROR(_xlfn.STDEV.S(IF((OutputTable[GroupByKey]=OutputTable[[#This Row],[GroupByKey]]),(OutputTable[GroupByKey]=OutputTable[[#This Row],[GroupByKey]])*OutputTable[RecordedValue])),0)</f>
        <v>1.7320508075688772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23" cm="1">
        <f t="array" ref="O23">MIN(IF((OutputTable[GroupByKey]=OutputTable[[#This Row],[GroupByKey]]),(OutputTable[GroupByKey]=OutputTable[[#This Row],[GroupByKey]])*OutputTable[RecordedValue]))</f>
        <v>133</v>
      </c>
      <c r="P23" cm="1">
        <f t="array" ref="P23">MAX(IF((OutputTable[GroupByKey]=OutputTable[[#This Row],[GroupByKey]]),(OutputTable[GroupByKey]=OutputTable[[#This Row],[GroupByKey]])*OutputTable[RecordedValue]))</f>
        <v>137</v>
      </c>
    </row>
    <row r="24" spans="1:16" x14ac:dyDescent="0.3">
      <c r="A24" t="s">
        <v>66</v>
      </c>
      <c r="B24" t="s">
        <v>109</v>
      </c>
      <c r="C24">
        <v>4</v>
      </c>
      <c r="D24" t="s">
        <v>98</v>
      </c>
      <c r="E24" t="s">
        <v>99</v>
      </c>
      <c r="F24" t="s">
        <v>86</v>
      </c>
      <c r="G24">
        <v>0.40895522388059702</v>
      </c>
      <c r="H24">
        <v>0</v>
      </c>
      <c r="I24" t="str">
        <f>OutputTable[[#This Row],[ProjectName]]&amp;OutputTable[[#This Row],[Name]]&amp;OutputTable[[#This Row],[Type]]&amp;OutputTable[[#This Row],[Source]]</f>
        <v>Unnamed ProjectInspectionResource.ScheduledUtilizationScheduled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0.40587440603092595</v>
      </c>
      <c r="L24" cm="1">
        <f t="array" ref="L24">IFERROR(_xlfn.STDEV.S(IF((OutputTable[GroupByKey]=OutputTable[[#This Row],[GroupByKey]]),(OutputTable[GroupByKey]=OutputTable[[#This Row],[GroupByKey]])*OutputTable[RecordedValue])),0)</f>
        <v>5.2524152446658907E-3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6.5217349129182509E-3</v>
      </c>
      <c r="O24" cm="1">
        <f t="array" ref="O24">MIN(IF((OutputTable[GroupByKey]=OutputTable[[#This Row],[GroupByKey]]),(OutputTable[GroupByKey]=OutputTable[[#This Row],[GroupByKey]])*OutputTable[RecordedValue]))</f>
        <v>0.39701492537313399</v>
      </c>
      <c r="P24" cm="1">
        <f t="array" ref="P24">MAX(IF((OutputTable[GroupByKey]=OutputTable[[#This Row],[GroupByKey]]),(OutputTable[GroupByKey]=OutputTable[[#This Row],[GroupByKey]])*OutputTable[RecordedValue]))</f>
        <v>0.410403651375776</v>
      </c>
    </row>
    <row r="25" spans="1:16" x14ac:dyDescent="0.3">
      <c r="A25" t="s">
        <v>66</v>
      </c>
      <c r="B25" t="s">
        <v>109</v>
      </c>
      <c r="C25">
        <v>4</v>
      </c>
      <c r="D25" t="s">
        <v>100</v>
      </c>
      <c r="E25" t="s">
        <v>97</v>
      </c>
      <c r="F25" t="s">
        <v>86</v>
      </c>
      <c r="G25">
        <v>137</v>
      </c>
      <c r="H25">
        <v>0</v>
      </c>
      <c r="I25" t="str">
        <f>OutputTable[[#This Row],[ProjectName]]&amp;OutputTable[[#This Row],[Name]]&amp;OutputTable[[#This Row],[Type]]&amp;OutputTable[[#This Row],[Source]]</f>
        <v>Unnamed ProjectMachine.NumberSeizedTotal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136</v>
      </c>
      <c r="L25" cm="1">
        <f t="array" ref="L25">IFERROR(_xlfn.STDEV.S(IF((OutputTable[GroupByKey]=OutputTable[[#This Row],[GroupByKey]]),(OutputTable[GroupByKey]=OutputTable[[#This Row],[GroupByKey]])*OutputTable[RecordedValue])),0)</f>
        <v>1.7320508075688772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25" cm="1">
        <f t="array" ref="O25">MIN(IF((OutputTable[GroupByKey]=OutputTable[[#This Row],[GroupByKey]]),(OutputTable[GroupByKey]=OutputTable[[#This Row],[GroupByKey]])*OutputTable[RecordedValue]))</f>
        <v>133</v>
      </c>
      <c r="P25" cm="1">
        <f t="array" ref="P25">MAX(IF((OutputTable[GroupByKey]=OutputTable[[#This Row],[GroupByKey]]),(OutputTable[GroupByKey]=OutputTable[[#This Row],[GroupByKey]])*OutputTable[RecordedValue]))</f>
        <v>137</v>
      </c>
    </row>
    <row r="26" spans="1:16" x14ac:dyDescent="0.3">
      <c r="A26" t="s">
        <v>66</v>
      </c>
      <c r="B26" t="s">
        <v>109</v>
      </c>
      <c r="C26">
        <v>4</v>
      </c>
      <c r="D26" t="s">
        <v>101</v>
      </c>
      <c r="E26" t="s">
        <v>99</v>
      </c>
      <c r="F26" t="s">
        <v>86</v>
      </c>
      <c r="G26">
        <v>1</v>
      </c>
      <c r="H26">
        <v>0</v>
      </c>
      <c r="I26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1</v>
      </c>
      <c r="P26" cm="1">
        <f t="array" ref="P26">MAX(IF((OutputTable[GroupByKey]=OutputTable[[#This Row],[GroupByKey]]),(OutputTable[GroupByKey]=OutputTable[[#This Row],[GroupByKey]])*OutputTable[RecordedValue]))</f>
        <v>1</v>
      </c>
    </row>
    <row r="27" spans="1:16" x14ac:dyDescent="0.3">
      <c r="A27" t="s">
        <v>66</v>
      </c>
      <c r="B27" t="s">
        <v>109</v>
      </c>
      <c r="C27">
        <v>4</v>
      </c>
      <c r="D27" t="s">
        <v>102</v>
      </c>
      <c r="E27" t="s">
        <v>103</v>
      </c>
      <c r="F27" t="s">
        <v>77</v>
      </c>
      <c r="G27">
        <v>267</v>
      </c>
      <c r="H27">
        <v>0</v>
      </c>
      <c r="I27" t="str">
        <f>OutputTable[[#This Row],[ProjectName]]&amp;OutputTable[[#This Row],[Name]]&amp;OutputTable[[#This Row],[Type]]&amp;OutputTable[[#This Row],[Source]]</f>
        <v>Unnamed ProjectPart.NumberInNumber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5</v>
      </c>
      <c r="K27" cm="1">
        <f t="array" ref="K27">IFERROR(AVERAGE(IF((OutputTable[GroupByKey]=OutputTable[[#This Row],[GroupByKey]]),(OutputTable[GroupByKey]=OutputTable[[#This Row],[GroupByKey]])*OutputTable[RecordedValue])),0)</f>
        <v>256.60000000000002</v>
      </c>
      <c r="L27" cm="1">
        <f t="array" ref="L27">IFERROR(_xlfn.STDEV.S(IF((OutputTable[GroupByKey]=OutputTable[[#This Row],[GroupByKey]]),(OutputTable[GroupByKey]=OutputTable[[#This Row],[GroupByKey]])*OutputTable[RecordedValue])),0)</f>
        <v>20.007498594277099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24.842590698626289</v>
      </c>
      <c r="O27" cm="1">
        <f t="array" ref="O27">MIN(IF((OutputTable[GroupByKey]=OutputTable[[#This Row],[GroupByKey]]),(OutputTable[GroupByKey]=OutputTable[[#This Row],[GroupByKey]])*OutputTable[RecordedValue]))</f>
        <v>232</v>
      </c>
      <c r="P27" cm="1">
        <f t="array" ref="P27">MAX(IF((OutputTable[GroupByKey]=OutputTable[[#This Row],[GroupByKey]]),(OutputTable[GroupByKey]=OutputTable[[#This Row],[GroupByKey]])*OutputTable[RecordedValue]))</f>
        <v>284</v>
      </c>
    </row>
    <row r="28" spans="1:16" x14ac:dyDescent="0.3">
      <c r="A28" t="s">
        <v>66</v>
      </c>
      <c r="B28" t="s">
        <v>109</v>
      </c>
      <c r="C28">
        <v>4</v>
      </c>
      <c r="D28" t="s">
        <v>104</v>
      </c>
      <c r="E28" t="s">
        <v>105</v>
      </c>
      <c r="F28" t="s">
        <v>77</v>
      </c>
      <c r="G28">
        <v>267</v>
      </c>
      <c r="H28">
        <v>0</v>
      </c>
      <c r="I28" t="str">
        <f>OutputTable[[#This Row],[ProjectName]]&amp;OutputTable[[#This Row],[Name]]&amp;OutputTable[[#This Row],[Type]]&amp;OutputTable[[#This Row],[Source]]</f>
        <v>Unnamed ProjectPart.NumberOutNumber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</v>
      </c>
      <c r="K28" cm="1">
        <f t="array" ref="K28">IFERROR(AVERAGE(IF((OutputTable[GroupByKey]=OutputTable[[#This Row],[GroupByKey]]),(OutputTable[GroupByKey]=OutputTable[[#This Row],[GroupByKey]])*OutputTable[RecordedValue])),0)</f>
        <v>256</v>
      </c>
      <c r="L28" cm="1">
        <f t="array" ref="L28">IFERROR(_xlfn.STDEV.S(IF((OutputTable[GroupByKey]=OutputTable[[#This Row],[GroupByKey]]),(OutputTable[GroupByKey]=OutputTable[[#This Row],[GroupByKey]])*OutputTable[RecordedValue])),0)</f>
        <v>18.708286933869708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28" cm="1">
        <f t="array" ref="O28">MIN(IF((OutputTable[GroupByKey]=OutputTable[[#This Row],[GroupByKey]]),(OutputTable[GroupByKey]=OutputTable[[#This Row],[GroupByKey]])*OutputTable[RecordedValue]))</f>
        <v>233</v>
      </c>
      <c r="P28" cm="1">
        <f t="array" ref="P28">MAX(IF((OutputTable[GroupByKey]=OutputTable[[#This Row],[GroupByKey]]),(OutputTable[GroupByKey]=OutputTable[[#This Row],[GroupByKey]])*OutputTable[RecordedValue]))</f>
        <v>281</v>
      </c>
    </row>
    <row r="29" spans="1:16" x14ac:dyDescent="0.3">
      <c r="A29" t="s">
        <v>66</v>
      </c>
      <c r="B29" t="s">
        <v>109</v>
      </c>
      <c r="C29">
        <v>4</v>
      </c>
      <c r="D29" t="s">
        <v>106</v>
      </c>
      <c r="E29" t="s">
        <v>105</v>
      </c>
      <c r="F29" t="s">
        <v>107</v>
      </c>
      <c r="G29">
        <v>267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5</v>
      </c>
      <c r="K29" cm="1">
        <f t="array" ref="K29">IFERROR(AVERAGE(IF((OutputTable[GroupByKey]=OutputTable[[#This Row],[GroupByKey]]),(OutputTable[GroupByKey]=OutputTable[[#This Row],[GroupByKey]])*OutputTable[RecordedValue])),0)</f>
        <v>256</v>
      </c>
      <c r="L29" cm="1">
        <f t="array" ref="L29">IFERROR(_xlfn.STDEV.S(IF((OutputTable[GroupByKey]=OutputTable[[#This Row],[GroupByKey]]),(OutputTable[GroupByKey]=OutputTable[[#This Row],[GroupByKey]])*OutputTable[RecordedValue])),0)</f>
        <v>18.708286933869708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29" cm="1">
        <f t="array" ref="O29">MIN(IF((OutputTable[GroupByKey]=OutputTable[[#This Row],[GroupByKey]]),(OutputTable[GroupByKey]=OutputTable[[#This Row],[GroupByKey]])*OutputTable[RecordedValue]))</f>
        <v>233</v>
      </c>
      <c r="P29" cm="1">
        <f t="array" ref="P29">MAX(IF((OutputTable[GroupByKey]=OutputTable[[#This Row],[GroupByKey]]),(OutputTable[GroupByKey]=OutputTable[[#This Row],[GroupByKey]])*OutputTable[RecordedValue]))</f>
        <v>281</v>
      </c>
    </row>
    <row r="30" spans="1:16" x14ac:dyDescent="0.3">
      <c r="A30" t="s">
        <v>66</v>
      </c>
      <c r="B30" t="s">
        <v>109</v>
      </c>
      <c r="C30">
        <v>5</v>
      </c>
      <c r="D30" t="s">
        <v>96</v>
      </c>
      <c r="E30" t="s">
        <v>97</v>
      </c>
      <c r="F30" t="s">
        <v>86</v>
      </c>
      <c r="G30">
        <v>136</v>
      </c>
      <c r="H30">
        <v>0</v>
      </c>
      <c r="I30" t="str">
        <f>OutputTable[[#This Row],[ProjectName]]&amp;OutputTable[[#This Row],[Name]]&amp;OutputTable[[#This Row],[Type]]&amp;OutputTable[[#This Row],[Source]]</f>
        <v>Unnamed ProjectInspectionResource.NumberSeizedTotal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</v>
      </c>
      <c r="K30" cm="1">
        <f t="array" ref="K30">IFERROR(AVERAGE(IF((OutputTable[GroupByKey]=OutputTable[[#This Row],[GroupByKey]]),(OutputTable[GroupByKey]=OutputTable[[#This Row],[GroupByKey]])*OutputTable[RecordedValue])),0)</f>
        <v>136</v>
      </c>
      <c r="L30" cm="1">
        <f t="array" ref="L30">IFERROR(_xlfn.STDEV.S(IF((OutputTable[GroupByKey]=OutputTable[[#This Row],[GroupByKey]]),(OutputTable[GroupByKey]=OutputTable[[#This Row],[GroupByKey]])*OutputTable[RecordedValue])),0)</f>
        <v>1.7320508075688772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30" cm="1">
        <f t="array" ref="O30">MIN(IF((OutputTable[GroupByKey]=OutputTable[[#This Row],[GroupByKey]]),(OutputTable[GroupByKey]=OutputTable[[#This Row],[GroupByKey]])*OutputTable[RecordedValue]))</f>
        <v>133</v>
      </c>
      <c r="P30" cm="1">
        <f t="array" ref="P30">MAX(IF((OutputTable[GroupByKey]=OutputTable[[#This Row],[GroupByKey]]),(OutputTable[GroupByKey]=OutputTable[[#This Row],[GroupByKey]])*OutputTable[RecordedValue]))</f>
        <v>137</v>
      </c>
    </row>
    <row r="31" spans="1:16" x14ac:dyDescent="0.3">
      <c r="A31" t="s">
        <v>66</v>
      </c>
      <c r="B31" t="s">
        <v>109</v>
      </c>
      <c r="C31">
        <v>5</v>
      </c>
      <c r="D31" t="s">
        <v>98</v>
      </c>
      <c r="E31" t="s">
        <v>99</v>
      </c>
      <c r="F31" t="s">
        <v>86</v>
      </c>
      <c r="G31">
        <v>0.40576595650258501</v>
      </c>
      <c r="H31">
        <v>0</v>
      </c>
      <c r="I31" t="str">
        <f>OutputTable[[#This Row],[ProjectName]]&amp;OutputTable[[#This Row],[Name]]&amp;OutputTable[[#This Row],[Type]]&amp;OutputTable[[#This Row],[Source]]</f>
        <v>Unnamed ProjectInspectionResource.ScheduledUtilizationScheduled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</v>
      </c>
      <c r="K31" cm="1">
        <f t="array" ref="K31">IFERROR(AVERAGE(IF((OutputTable[GroupByKey]=OutputTable[[#This Row],[GroupByKey]]),(OutputTable[GroupByKey]=OutputTable[[#This Row],[GroupByKey]])*OutputTable[RecordedValue])),0)</f>
        <v>0.40587440603092595</v>
      </c>
      <c r="L31" cm="1">
        <f t="array" ref="L31">IFERROR(_xlfn.STDEV.S(IF((OutputTable[GroupByKey]=OutputTable[[#This Row],[GroupByKey]]),(OutputTable[GroupByKey]=OutputTable[[#This Row],[GroupByKey]])*OutputTable[RecordedValue])),0)</f>
        <v>5.2524152446658907E-3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6.5217349129182509E-3</v>
      </c>
      <c r="O31" cm="1">
        <f t="array" ref="O31">MIN(IF((OutputTable[GroupByKey]=OutputTable[[#This Row],[GroupByKey]]),(OutputTable[GroupByKey]=OutputTable[[#This Row],[GroupByKey]])*OutputTable[RecordedValue]))</f>
        <v>0.39701492537313399</v>
      </c>
      <c r="P31" cm="1">
        <f t="array" ref="P31">MAX(IF((OutputTable[GroupByKey]=OutputTable[[#This Row],[GroupByKey]]),(OutputTable[GroupByKey]=OutputTable[[#This Row],[GroupByKey]])*OutputTable[RecordedValue]))</f>
        <v>0.410403651375776</v>
      </c>
    </row>
    <row r="32" spans="1:16" x14ac:dyDescent="0.3">
      <c r="A32" t="s">
        <v>66</v>
      </c>
      <c r="B32" t="s">
        <v>109</v>
      </c>
      <c r="C32">
        <v>5</v>
      </c>
      <c r="D32" t="s">
        <v>100</v>
      </c>
      <c r="E32" t="s">
        <v>97</v>
      </c>
      <c r="F32" t="s">
        <v>86</v>
      </c>
      <c r="G32">
        <v>136</v>
      </c>
      <c r="H32">
        <v>0</v>
      </c>
      <c r="I32" t="str">
        <f>OutputTable[[#This Row],[ProjectName]]&amp;OutputTable[[#This Row],[Name]]&amp;OutputTable[[#This Row],[Type]]&amp;OutputTable[[#This Row],[Source]]</f>
        <v>Unnamed ProjectMachine.NumberSeizedTotal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5</v>
      </c>
      <c r="K32" cm="1">
        <f t="array" ref="K32">IFERROR(AVERAGE(IF((OutputTable[GroupByKey]=OutputTable[[#This Row],[GroupByKey]]),(OutputTable[GroupByKey]=OutputTable[[#This Row],[GroupByKey]])*OutputTable[RecordedValue])),0)</f>
        <v>136</v>
      </c>
      <c r="L32" cm="1">
        <f t="array" ref="L32">IFERROR(_xlfn.STDEV.S(IF((OutputTable[GroupByKey]=OutputTable[[#This Row],[GroupByKey]]),(OutputTable[GroupByKey]=OutputTable[[#This Row],[GroupByKey]])*OutputTable[RecordedValue])),0)</f>
        <v>1.7320508075688772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2.1506251308180304</v>
      </c>
      <c r="O32" cm="1">
        <f t="array" ref="O32">MIN(IF((OutputTable[GroupByKey]=OutputTable[[#This Row],[GroupByKey]]),(OutputTable[GroupByKey]=OutputTable[[#This Row],[GroupByKey]])*OutputTable[RecordedValue]))</f>
        <v>133</v>
      </c>
      <c r="P32" cm="1">
        <f t="array" ref="P32">MAX(IF((OutputTable[GroupByKey]=OutputTable[[#This Row],[GroupByKey]]),(OutputTable[GroupByKey]=OutputTable[[#This Row],[GroupByKey]])*OutputTable[RecordedValue]))</f>
        <v>137</v>
      </c>
    </row>
    <row r="33" spans="1:16" x14ac:dyDescent="0.3">
      <c r="A33" t="s">
        <v>66</v>
      </c>
      <c r="B33" t="s">
        <v>109</v>
      </c>
      <c r="C33">
        <v>5</v>
      </c>
      <c r="D33" t="s">
        <v>101</v>
      </c>
      <c r="E33" t="s">
        <v>99</v>
      </c>
      <c r="F33" t="s">
        <v>86</v>
      </c>
      <c r="G33">
        <v>1</v>
      </c>
      <c r="H33">
        <v>0</v>
      </c>
      <c r="I3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5</v>
      </c>
      <c r="K33" cm="1">
        <f t="array" ref="K33">IFERROR(AVERAGE(IF((OutputTable[GroupByKey]=OutputTable[[#This Row],[GroupByKey]]),(OutputTable[GroupByKey]=OutputTable[[#This Row],[GroupByKey]])*OutputTable[RecordedValue])),0)</f>
        <v>1</v>
      </c>
      <c r="L33" cm="1">
        <f t="array" ref="L33">IFERROR(_xlfn.STDEV.S(IF((OutputTable[GroupByKey]=OutputTable[[#This Row],[GroupByKey]]),(OutputTable[GroupByKey]=OutputTable[[#This Row],[GroupByKey]])*OutputTable[RecordedValue])),0)</f>
        <v>0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cm="1">
        <f t="array" ref="O33">MIN(IF((OutputTable[GroupByKey]=OutputTable[[#This Row],[GroupByKey]]),(OutputTable[GroupByKey]=OutputTable[[#This Row],[GroupByKey]])*OutputTable[RecordedValue]))</f>
        <v>1</v>
      </c>
      <c r="P33" cm="1">
        <f t="array" ref="P33">MAX(IF((OutputTable[GroupByKey]=OutputTable[[#This Row],[GroupByKey]]),(OutputTable[GroupByKey]=OutputTable[[#This Row],[GroupByKey]])*OutputTable[RecordedValue]))</f>
        <v>1</v>
      </c>
    </row>
    <row r="34" spans="1:16" x14ac:dyDescent="0.3">
      <c r="A34" t="s">
        <v>66</v>
      </c>
      <c r="B34" t="s">
        <v>109</v>
      </c>
      <c r="C34">
        <v>5</v>
      </c>
      <c r="D34" t="s">
        <v>102</v>
      </c>
      <c r="E34" t="s">
        <v>103</v>
      </c>
      <c r="F34" t="s">
        <v>77</v>
      </c>
      <c r="G34">
        <v>255</v>
      </c>
      <c r="H34">
        <v>0</v>
      </c>
      <c r="I34" t="str">
        <f>OutputTable[[#This Row],[ProjectName]]&amp;OutputTable[[#This Row],[Name]]&amp;OutputTable[[#This Row],[Type]]&amp;OutputTable[[#This Row],[Source]]</f>
        <v>Unnamed ProjectPart.NumberInNumber InEntity</v>
      </c>
      <c r="J34" cm="1">
        <f t="array" ref="J34">MAX(IF((ProjectInfoTable[ProjectName]=OutputTable[[#This Row],[ProjectName]]),(ProjectInfoTable[ProjectName]=OutputTable[[#This Row],[ProjectName]])*ProjectInfoTable[NumberOfReplications]))</f>
        <v>5</v>
      </c>
      <c r="K34" cm="1">
        <f t="array" ref="K34">IFERROR(AVERAGE(IF((OutputTable[GroupByKey]=OutputTable[[#This Row],[GroupByKey]]),(OutputTable[GroupByKey]=OutputTable[[#This Row],[GroupByKey]])*OutputTable[RecordedValue])),0)</f>
        <v>256.60000000000002</v>
      </c>
      <c r="L34" cm="1">
        <f t="array" ref="L34">IFERROR(_xlfn.STDEV.S(IF((OutputTable[GroupByKey]=OutputTable[[#This Row],[GroupByKey]]),(OutputTable[GroupByKey]=OutputTable[[#This Row],[GroupByKey]])*OutputTable[RecordedValue])),0)</f>
        <v>20.007498594277099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24.842590698626289</v>
      </c>
      <c r="O34" cm="1">
        <f t="array" ref="O34">MIN(IF((OutputTable[GroupByKey]=OutputTable[[#This Row],[GroupByKey]]),(OutputTable[GroupByKey]=OutputTable[[#This Row],[GroupByKey]])*OutputTable[RecordedValue]))</f>
        <v>232</v>
      </c>
      <c r="P34" cm="1">
        <f t="array" ref="P34">MAX(IF((OutputTable[GroupByKey]=OutputTable[[#This Row],[GroupByKey]]),(OutputTable[GroupByKey]=OutputTable[[#This Row],[GroupByKey]])*OutputTable[RecordedValue]))</f>
        <v>284</v>
      </c>
    </row>
    <row r="35" spans="1:16" x14ac:dyDescent="0.3">
      <c r="A35" t="s">
        <v>66</v>
      </c>
      <c r="B35" t="s">
        <v>109</v>
      </c>
      <c r="C35">
        <v>5</v>
      </c>
      <c r="D35" t="s">
        <v>104</v>
      </c>
      <c r="E35" t="s">
        <v>105</v>
      </c>
      <c r="F35" t="s">
        <v>77</v>
      </c>
      <c r="G35">
        <v>254</v>
      </c>
      <c r="H35">
        <v>0</v>
      </c>
      <c r="I35" t="str">
        <f>OutputTable[[#This Row],[ProjectName]]&amp;OutputTable[[#This Row],[Name]]&amp;OutputTable[[#This Row],[Type]]&amp;OutputTable[[#This Row],[Source]]</f>
        <v>Unnamed ProjectPart.NumberOutNumber OutEntity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5</v>
      </c>
      <c r="K35" cm="1">
        <f t="array" ref="K35">IFERROR(AVERAGE(IF((OutputTable[GroupByKey]=OutputTable[[#This Row],[GroupByKey]]),(OutputTable[GroupByKey]=OutputTable[[#This Row],[GroupByKey]])*OutputTable[RecordedValue])),0)</f>
        <v>256</v>
      </c>
      <c r="L35" cm="1">
        <f t="array" ref="L35">IFERROR(_xlfn.STDEV.S(IF((OutputTable[GroupByKey]=OutputTable[[#This Row],[GroupByKey]]),(OutputTable[GroupByKey]=OutputTable[[#This Row],[GroupByKey]])*OutputTable[RecordedValue])),0)</f>
        <v>18.708286933869708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35" cm="1">
        <f t="array" ref="O35">MIN(IF((OutputTable[GroupByKey]=OutputTable[[#This Row],[GroupByKey]]),(OutputTable[GroupByKey]=OutputTable[[#This Row],[GroupByKey]])*OutputTable[RecordedValue]))</f>
        <v>233</v>
      </c>
      <c r="P35" cm="1">
        <f t="array" ref="P35">MAX(IF((OutputTable[GroupByKey]=OutputTable[[#This Row],[GroupByKey]]),(OutputTable[GroupByKey]=OutputTable[[#This Row],[GroupByKey]])*OutputTable[RecordedValue]))</f>
        <v>281</v>
      </c>
    </row>
    <row r="36" spans="1:16" x14ac:dyDescent="0.3">
      <c r="A36" t="s">
        <v>66</v>
      </c>
      <c r="B36" t="s">
        <v>109</v>
      </c>
      <c r="C36">
        <v>5</v>
      </c>
      <c r="D36" t="s">
        <v>106</v>
      </c>
      <c r="E36" t="s">
        <v>105</v>
      </c>
      <c r="F36" t="s">
        <v>107</v>
      </c>
      <c r="G36">
        <v>254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5</v>
      </c>
      <c r="K36" cm="1">
        <f t="array" ref="K36">IFERROR(AVERAGE(IF((OutputTable[GroupByKey]=OutputTable[[#This Row],[GroupByKey]]),(OutputTable[GroupByKey]=OutputTable[[#This Row],[GroupByKey]])*OutputTable[RecordedValue])),0)</f>
        <v>256</v>
      </c>
      <c r="L36" cm="1">
        <f t="array" ref="L36">IFERROR(_xlfn.STDEV.S(IF((OutputTable[GroupByKey]=OutputTable[[#This Row],[GroupByKey]]),(OutputTable[GroupByKey]=OutputTable[[#This Row],[GroupByKey]])*OutputTable[RecordedValue])),0)</f>
        <v>18.708286933869708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23.229406353851896</v>
      </c>
      <c r="O36" cm="1">
        <f t="array" ref="O36">MIN(IF((OutputTable[GroupByKey]=OutputTable[[#This Row],[GroupByKey]]),(OutputTable[GroupByKey]=OutputTable[[#This Row],[GroupByKey]])*OutputTable[RecordedValue]))</f>
        <v>233</v>
      </c>
      <c r="P36" cm="1">
        <f t="array" ref="P36">MAX(IF((OutputTable[GroupByKey]=OutputTable[[#This Row],[GroupByKey]]),(OutputTable[GroupByKey]=OutputTable[[#This Row],[GroupByKey]])*OutputTable[RecordedValue]))</f>
        <v>281</v>
      </c>
    </row>
  </sheetData>
  <phoneticPr fontId="2" type="noConversion"/>
  <conditionalFormatting sqref="I2:P36">
    <cfRule type="expression" dxfId="11" priority="2">
      <formula>MOD(ROW(),2)=0</formula>
    </cfRule>
  </conditionalFormatting>
  <conditionalFormatting sqref="N2:N36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2025-04-28T13:47:11Z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