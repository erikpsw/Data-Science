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Ex1\"/>
    </mc:Choice>
  </mc:AlternateContent>
  <xr:revisionPtr revIDLastSave="0" documentId="13_ncr:1_{17EDC462-150E-41DB-BB60-774E40D7ECE5}" xr6:coauthVersionLast="47" xr6:coauthVersionMax="47" xr10:uidLastSave="{00000000-0000-0000-0000-000000000000}"/>
  <bookViews>
    <workbookView xWindow="1100" yWindow="1100" windowWidth="19200" windowHeight="112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ContinuousTimeStatsByRep!$A$1:$L$26</definedName>
    <definedName name="ExternalData_1" localSheetId="4" hidden="1">CounterStatsByRep!$A$1:$G$2</definedName>
    <definedName name="ExternalData_1" localSheetId="2" hidden="1">DiscreteTimeStatsByRep!$A$1:$K$36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K3" i="20" s="1" a="1"/>
  <c r="K3" i="20" s="1"/>
  <c r="I11" i="20"/>
  <c r="I12" i="20"/>
  <c r="K11" i="20" s="1" a="1"/>
  <c r="K11" i="20" s="1"/>
  <c r="I13" i="20"/>
  <c r="K19" i="20" s="1" a="1"/>
  <c r="K19" i="20" s="1"/>
  <c r="I14" i="20"/>
  <c r="L2" i="20" s="1" a="1"/>
  <c r="L2" i="20" s="1"/>
  <c r="I15" i="20"/>
  <c r="I16" i="20"/>
  <c r="L18" i="20" s="1" a="1"/>
  <c r="L18" i="20" s="1"/>
  <c r="I17" i="20"/>
  <c r="I18" i="20"/>
  <c r="I19" i="20"/>
  <c r="I20" i="20"/>
  <c r="I21" i="20"/>
  <c r="I22" i="20"/>
  <c r="I23" i="20"/>
  <c r="I24" i="20"/>
  <c r="I25" i="20"/>
  <c r="I26" i="20"/>
  <c r="J2" i="20" a="1"/>
  <c r="J2" i="20" s="1"/>
  <c r="J3" i="20" a="1"/>
  <c r="J3" i="20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/>
  <c r="J26" i="20" a="1"/>
  <c r="J26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" i="18"/>
  <c r="M3" i="18"/>
  <c r="M4" i="18"/>
  <c r="M5" i="18"/>
  <c r="M6" i="18"/>
  <c r="M7" i="18"/>
  <c r="M8" i="18"/>
  <c r="M9" i="18"/>
  <c r="M10" i="18"/>
  <c r="M11" i="18"/>
  <c r="O11" i="18" s="1" a="1"/>
  <c r="O11" i="18" s="1"/>
  <c r="M12" i="18"/>
  <c r="M13" i="18"/>
  <c r="M14" i="18"/>
  <c r="M15" i="18"/>
  <c r="M16" i="18"/>
  <c r="M17" i="18"/>
  <c r="M18" i="18"/>
  <c r="P18" i="18" s="1" a="1"/>
  <c r="P18" i="18" s="1"/>
  <c r="M19" i="18"/>
  <c r="M20" i="18"/>
  <c r="M21" i="18"/>
  <c r="M22" i="18"/>
  <c r="M23" i="18"/>
  <c r="M24" i="18"/>
  <c r="M25" i="18"/>
  <c r="M26" i="18"/>
  <c r="N2" i="18" a="1"/>
  <c r="N2" i="18" s="1"/>
  <c r="N3" i="18" a="1"/>
  <c r="N3" i="18"/>
  <c r="N4" i="18" a="1"/>
  <c r="N4" i="18" s="1"/>
  <c r="N5" i="18" a="1"/>
  <c r="N5" i="18"/>
  <c r="N6" i="18" a="1"/>
  <c r="N6" i="18" s="1"/>
  <c r="N7" i="18" a="1"/>
  <c r="N7" i="18"/>
  <c r="N8" i="18" a="1"/>
  <c r="N8" i="18" s="1"/>
  <c r="N9" i="18" a="1"/>
  <c r="N9" i="18" s="1"/>
  <c r="N10" i="18" a="1"/>
  <c r="N10" i="18" s="1"/>
  <c r="N11" i="18" a="1"/>
  <c r="N11" i="18"/>
  <c r="N12" i="18" a="1"/>
  <c r="N12" i="18" s="1"/>
  <c r="N13" i="18" a="1"/>
  <c r="N13" i="18"/>
  <c r="N14" i="18" a="1"/>
  <c r="N14" i="18" s="1"/>
  <c r="N15" i="18" a="1"/>
  <c r="N15" i="18"/>
  <c r="N16" i="18" a="1"/>
  <c r="N16" i="18" s="1"/>
  <c r="N17" i="18" a="1"/>
  <c r="N17" i="18"/>
  <c r="N18" i="18" a="1"/>
  <c r="N18" i="18"/>
  <c r="N19" i="18" a="1"/>
  <c r="N19" i="18" s="1"/>
  <c r="N20" i="18" a="1"/>
  <c r="N20" i="18" s="1"/>
  <c r="N21" i="18" a="1"/>
  <c r="N21" i="18"/>
  <c r="N22" i="18" a="1"/>
  <c r="N22" i="18" s="1"/>
  <c r="N23" i="18" a="1"/>
  <c r="N23" i="18"/>
  <c r="N24" i="18" a="1"/>
  <c r="N24" i="18" s="1"/>
  <c r="N25" i="18" a="1"/>
  <c r="N25" i="18"/>
  <c r="N26" i="18" a="1"/>
  <c r="N26" i="18"/>
  <c r="O3" i="18" a="1"/>
  <c r="O3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/>
  <c r="Q15" i="18" a="1"/>
  <c r="Q15" i="18"/>
  <c r="Q16" i="18" a="1"/>
  <c r="Q16" i="18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/>
  <c r="Q23" i="18" a="1"/>
  <c r="Q23" i="18"/>
  <c r="Q24" i="18" a="1"/>
  <c r="Q24" i="18"/>
  <c r="Q25" i="18" a="1"/>
  <c r="Q25" i="18" s="1"/>
  <c r="Q26" i="18" a="1"/>
  <c r="Q26" i="18" s="1"/>
  <c r="L2" i="17"/>
  <c r="L3" i="17"/>
  <c r="L4" i="17"/>
  <c r="L5" i="17"/>
  <c r="L6" i="17"/>
  <c r="L7" i="17"/>
  <c r="L32" i="17"/>
  <c r="L8" i="17"/>
  <c r="L9" i="17"/>
  <c r="L10" i="17"/>
  <c r="L11" i="17"/>
  <c r="L12" i="17"/>
  <c r="L13" i="17"/>
  <c r="L33" i="17"/>
  <c r="V33" i="17" s="1" a="1"/>
  <c r="V33" i="17" s="1"/>
  <c r="L14" i="17"/>
  <c r="L15" i="17"/>
  <c r="L16" i="17"/>
  <c r="L17" i="17"/>
  <c r="L18" i="17"/>
  <c r="L19" i="17"/>
  <c r="L34" i="17"/>
  <c r="L20" i="17"/>
  <c r="L21" i="17"/>
  <c r="L22" i="17"/>
  <c r="L23" i="17"/>
  <c r="L24" i="17"/>
  <c r="L25" i="17"/>
  <c r="L35" i="17"/>
  <c r="L26" i="17"/>
  <c r="L27" i="17"/>
  <c r="R27" i="17" s="1" a="1"/>
  <c r="R27" i="17" s="1"/>
  <c r="L28" i="17"/>
  <c r="L29" i="17"/>
  <c r="L30" i="17"/>
  <c r="L31" i="17"/>
  <c r="L36" i="17"/>
  <c r="M2" i="17" a="1"/>
  <c r="M2" i="17" s="1"/>
  <c r="M3" i="17" a="1"/>
  <c r="M3" i="17" s="1"/>
  <c r="M4" i="17" a="1"/>
  <c r="M4" i="17" s="1"/>
  <c r="M5" i="17" a="1"/>
  <c r="M5" i="17" s="1"/>
  <c r="M6" i="17" a="1"/>
  <c r="M6" i="17"/>
  <c r="M7" i="17" a="1"/>
  <c r="M7" i="17" s="1"/>
  <c r="M32" i="17" a="1"/>
  <c r="M3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33" i="17" a="1"/>
  <c r="M33" i="17" s="1"/>
  <c r="M14" i="17" a="1"/>
  <c r="M14" i="17" s="1"/>
  <c r="M15" i="17" a="1"/>
  <c r="M15" i="17" s="1"/>
  <c r="M16" i="17" a="1"/>
  <c r="M16" i="17" s="1"/>
  <c r="M17" i="17" a="1"/>
  <c r="M17" i="17"/>
  <c r="M18" i="17" a="1"/>
  <c r="M18" i="17"/>
  <c r="M19" i="17" a="1"/>
  <c r="M19" i="17" s="1"/>
  <c r="M34" i="17" a="1"/>
  <c r="M3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/>
  <c r="M25" i="17" a="1"/>
  <c r="M25" i="17" s="1"/>
  <c r="M35" i="17" a="1"/>
  <c r="M3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6" i="17" a="1"/>
  <c r="M36" i="17" s="1"/>
  <c r="P2" i="17" a="1"/>
  <c r="P2" i="17" s="1"/>
  <c r="P3" i="17" a="1"/>
  <c r="P3" i="17"/>
  <c r="P4" i="17" a="1"/>
  <c r="P4" i="17"/>
  <c r="P5" i="17" a="1"/>
  <c r="P5" i="17" s="1"/>
  <c r="P6" i="17" a="1"/>
  <c r="P6" i="17" s="1"/>
  <c r="P7" i="17" a="1"/>
  <c r="P7" i="17" s="1"/>
  <c r="P32" i="17" a="1"/>
  <c r="P32" i="17" s="1"/>
  <c r="P8" i="17" a="1"/>
  <c r="P8" i="17" s="1"/>
  <c r="P9" i="17" a="1"/>
  <c r="P9" i="17" s="1"/>
  <c r="P10" i="17" a="1"/>
  <c r="P10" i="17" s="1"/>
  <c r="P11" i="17" a="1"/>
  <c r="P11" i="17"/>
  <c r="P12" i="17" a="1"/>
  <c r="P12" i="17"/>
  <c r="P13" i="17" a="1"/>
  <c r="P13" i="17" s="1"/>
  <c r="P33" i="17" a="1"/>
  <c r="P3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/>
  <c r="P34" i="17" a="1"/>
  <c r="P3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35" i="17" a="1"/>
  <c r="P35" i="17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6" i="17" a="1"/>
  <c r="P36" i="17" s="1"/>
  <c r="G2" i="16"/>
  <c r="O14" i="20" l="1" a="1"/>
  <c r="O14" i="20" s="1"/>
  <c r="O21" i="20" a="1"/>
  <c r="O21" i="20" s="1"/>
  <c r="O5" i="20" a="1"/>
  <c r="O5" i="20" s="1"/>
  <c r="L26" i="20" a="1"/>
  <c r="L26" i="20" s="1"/>
  <c r="L10" i="20" a="1"/>
  <c r="L10" i="20" s="1"/>
  <c r="N10" i="20" s="1"/>
  <c r="K5" i="20" a="1"/>
  <c r="K5" i="20" s="1"/>
  <c r="O13" i="20" a="1"/>
  <c r="O13" i="20" s="1"/>
  <c r="L24" i="20" a="1"/>
  <c r="L24" i="20" s="1"/>
  <c r="K7" i="20" a="1"/>
  <c r="K7" i="20" s="1"/>
  <c r="N24" i="20"/>
  <c r="N19" i="20"/>
  <c r="N16" i="20"/>
  <c r="N2" i="20"/>
  <c r="N18" i="20"/>
  <c r="N26" i="20"/>
  <c r="P26" i="20" a="1"/>
  <c r="P26" i="20" s="1"/>
  <c r="L11" i="20" a="1"/>
  <c r="L11" i="20" s="1"/>
  <c r="N11" i="20" s="1"/>
  <c r="L3" i="20" a="1"/>
  <c r="L3" i="20" s="1"/>
  <c r="N3" i="20" s="1"/>
  <c r="K20" i="20" a="1"/>
  <c r="K20" i="20" s="1"/>
  <c r="K12" i="20" a="1"/>
  <c r="K12" i="20" s="1"/>
  <c r="K4" i="20" a="1"/>
  <c r="K4" i="20" s="1"/>
  <c r="L19" i="20" a="1"/>
  <c r="L19" i="20" s="1"/>
  <c r="P19" i="20" a="1"/>
  <c r="P19" i="20" s="1"/>
  <c r="P11" i="20" a="1"/>
  <c r="P11" i="20" s="1"/>
  <c r="P3" i="20" a="1"/>
  <c r="P3" i="20" s="1"/>
  <c r="O20" i="20" a="1"/>
  <c r="O20" i="20" s="1"/>
  <c r="O12" i="20" a="1"/>
  <c r="O12" i="20" s="1"/>
  <c r="O4" i="20" a="1"/>
  <c r="O4" i="20" s="1"/>
  <c r="P2" i="20" a="1"/>
  <c r="P2" i="20" s="1"/>
  <c r="O19" i="20" a="1"/>
  <c r="O19" i="20" s="1"/>
  <c r="O11" i="20" a="1"/>
  <c r="O11" i="20" s="1"/>
  <c r="O3" i="20" a="1"/>
  <c r="O3" i="20" s="1"/>
  <c r="K26" i="20" a="1"/>
  <c r="K26" i="20" s="1"/>
  <c r="K18" i="20" a="1"/>
  <c r="K18" i="20" s="1"/>
  <c r="K10" i="20" a="1"/>
  <c r="K10" i="20" s="1"/>
  <c r="K2" i="20" a="1"/>
  <c r="K2" i="20" s="1"/>
  <c r="P17" i="20" a="1"/>
  <c r="P17" i="20" s="1"/>
  <c r="O26" i="20" a="1"/>
  <c r="O26" i="20" s="1"/>
  <c r="O18" i="20" a="1"/>
  <c r="O18" i="20" s="1"/>
  <c r="O10" i="20" a="1"/>
  <c r="O10" i="20" s="1"/>
  <c r="O2" i="20" a="1"/>
  <c r="O2" i="20" s="1"/>
  <c r="P10" i="20" a="1"/>
  <c r="P10" i="20" s="1"/>
  <c r="K25" i="20" a="1"/>
  <c r="K25" i="20" s="1"/>
  <c r="K9" i="20" a="1"/>
  <c r="K9" i="20" s="1"/>
  <c r="P16" i="20" a="1"/>
  <c r="P16" i="20" s="1"/>
  <c r="P8" i="20" a="1"/>
  <c r="P8" i="20" s="1"/>
  <c r="O25" i="20" a="1"/>
  <c r="O25" i="20" s="1"/>
  <c r="O17" i="20" a="1"/>
  <c r="O17" i="20" s="1"/>
  <c r="O9" i="20" a="1"/>
  <c r="O9" i="20" s="1"/>
  <c r="L25" i="20" a="1"/>
  <c r="L25" i="20" s="1"/>
  <c r="N25" i="20" s="1"/>
  <c r="L8" i="20" a="1"/>
  <c r="L8" i="20" s="1"/>
  <c r="N8" i="20" s="1"/>
  <c r="K17" i="20" a="1"/>
  <c r="K17" i="20" s="1"/>
  <c r="P24" i="20" a="1"/>
  <c r="P24" i="20" s="1"/>
  <c r="L23" i="20" a="1"/>
  <c r="L23" i="20" s="1"/>
  <c r="N23" i="20" s="1"/>
  <c r="L15" i="20" a="1"/>
  <c r="L15" i="20" s="1"/>
  <c r="N15" i="20" s="1"/>
  <c r="L7" i="20" a="1"/>
  <c r="L7" i="20" s="1"/>
  <c r="N7" i="20" s="1"/>
  <c r="K24" i="20" a="1"/>
  <c r="K24" i="20" s="1"/>
  <c r="K16" i="20" a="1"/>
  <c r="K16" i="20" s="1"/>
  <c r="K8" i="20" a="1"/>
  <c r="K8" i="20" s="1"/>
  <c r="P18" i="20" a="1"/>
  <c r="P18" i="20" s="1"/>
  <c r="P23" i="20" a="1"/>
  <c r="P23" i="20" s="1"/>
  <c r="P15" i="20" a="1"/>
  <c r="P15" i="20" s="1"/>
  <c r="P7" i="20" a="1"/>
  <c r="P7" i="20" s="1"/>
  <c r="O24" i="20" a="1"/>
  <c r="O24" i="20" s="1"/>
  <c r="O16" i="20" a="1"/>
  <c r="O16" i="20" s="1"/>
  <c r="O8" i="20" a="1"/>
  <c r="O8" i="20" s="1"/>
  <c r="P25" i="20" a="1"/>
  <c r="P25" i="20" s="1"/>
  <c r="L22" i="20" a="1"/>
  <c r="L22" i="20" s="1"/>
  <c r="N22" i="20" s="1"/>
  <c r="L14" i="20" a="1"/>
  <c r="L14" i="20" s="1"/>
  <c r="N14" i="20" s="1"/>
  <c r="L6" i="20" a="1"/>
  <c r="L6" i="20" s="1"/>
  <c r="N6" i="20" s="1"/>
  <c r="K23" i="20" a="1"/>
  <c r="K23" i="20" s="1"/>
  <c r="K15" i="20" a="1"/>
  <c r="K15" i="20" s="1"/>
  <c r="L16" i="20" a="1"/>
  <c r="L16" i="20" s="1"/>
  <c r="P22" i="20" a="1"/>
  <c r="P22" i="20" s="1"/>
  <c r="P14" i="20" a="1"/>
  <c r="P14" i="20" s="1"/>
  <c r="P6" i="20" a="1"/>
  <c r="P6" i="20" s="1"/>
  <c r="O23" i="20" a="1"/>
  <c r="O23" i="20" s="1"/>
  <c r="O15" i="20" a="1"/>
  <c r="O15" i="20" s="1"/>
  <c r="O7" i="20" a="1"/>
  <c r="O7" i="20" s="1"/>
  <c r="L17" i="20" a="1"/>
  <c r="L17" i="20" s="1"/>
  <c r="N17" i="20" s="1"/>
  <c r="L21" i="20" a="1"/>
  <c r="L21" i="20" s="1"/>
  <c r="N21" i="20" s="1"/>
  <c r="L13" i="20" a="1"/>
  <c r="L13" i="20" s="1"/>
  <c r="N13" i="20" s="1"/>
  <c r="L5" i="20" a="1"/>
  <c r="L5" i="20" s="1"/>
  <c r="N5" i="20" s="1"/>
  <c r="K22" i="20" a="1"/>
  <c r="K22" i="20" s="1"/>
  <c r="K14" i="20" a="1"/>
  <c r="K14" i="20" s="1"/>
  <c r="K6" i="20" a="1"/>
  <c r="K6" i="20" s="1"/>
  <c r="P9" i="20" a="1"/>
  <c r="P9" i="20" s="1"/>
  <c r="P21" i="20" a="1"/>
  <c r="P21" i="20" s="1"/>
  <c r="P13" i="20" a="1"/>
  <c r="P13" i="20" s="1"/>
  <c r="P5" i="20" a="1"/>
  <c r="P5" i="20" s="1"/>
  <c r="O22" i="20" a="1"/>
  <c r="O22" i="20" s="1"/>
  <c r="O6" i="20" a="1"/>
  <c r="O6" i="20" s="1"/>
  <c r="L9" i="20" a="1"/>
  <c r="L9" i="20" s="1"/>
  <c r="N9" i="20" s="1"/>
  <c r="L20" i="20" a="1"/>
  <c r="L20" i="20" s="1"/>
  <c r="N20" i="20" s="1"/>
  <c r="L12" i="20" a="1"/>
  <c r="L12" i="20" s="1"/>
  <c r="N12" i="20" s="1"/>
  <c r="L4" i="20" a="1"/>
  <c r="L4" i="20" s="1"/>
  <c r="N4" i="20" s="1"/>
  <c r="K21" i="20" a="1"/>
  <c r="K21" i="20" s="1"/>
  <c r="K13" i="20" a="1"/>
  <c r="K13" i="20" s="1"/>
  <c r="P20" i="20" a="1"/>
  <c r="P20" i="20" s="1"/>
  <c r="P12" i="20" a="1"/>
  <c r="P12" i="20" s="1"/>
  <c r="P4" i="20" a="1"/>
  <c r="P4" i="20" s="1"/>
  <c r="S11" i="18" a="1"/>
  <c r="S11" i="18" s="1"/>
  <c r="S14" i="18" a="1"/>
  <c r="S14" i="18" s="1"/>
  <c r="S13" i="18" a="1"/>
  <c r="S13" i="18" s="1"/>
  <c r="S17" i="18" a="1"/>
  <c r="S17" i="18" s="1"/>
  <c r="P26" i="18" a="1"/>
  <c r="P26" i="18" s="1"/>
  <c r="O21" i="18" a="1"/>
  <c r="O21" i="18" s="1"/>
  <c r="P10" i="18" a="1"/>
  <c r="P10" i="18" s="1"/>
  <c r="P2" i="18" a="1"/>
  <c r="P2" i="18" s="1"/>
  <c r="O19" i="18" a="1"/>
  <c r="O19" i="18" s="1"/>
  <c r="O6" i="18" a="1"/>
  <c r="O6" i="18" s="1"/>
  <c r="O22" i="18" a="1"/>
  <c r="O22" i="18" s="1"/>
  <c r="S20" i="18" a="1"/>
  <c r="S20" i="18" s="1"/>
  <c r="O25" i="18" a="1"/>
  <c r="O25" i="18" s="1"/>
  <c r="T19" i="18" a="1"/>
  <c r="T19" i="18" s="1"/>
  <c r="S5" i="18" a="1"/>
  <c r="S5" i="18" s="1"/>
  <c r="P5" i="18" a="1"/>
  <c r="P5" i="18" s="1"/>
  <c r="R5" i="18" s="1"/>
  <c r="U5" i="18" s="1"/>
  <c r="P25" i="18" a="1"/>
  <c r="P25" i="18" s="1"/>
  <c r="R25" i="18" s="1"/>
  <c r="U25" i="18" s="1"/>
  <c r="S2" i="18" a="1"/>
  <c r="S2" i="18" s="1"/>
  <c r="R26" i="18"/>
  <c r="U26" i="18" s="1"/>
  <c r="R10" i="18"/>
  <c r="U10" i="18" s="1"/>
  <c r="T21" i="18" a="1"/>
  <c r="T21" i="18" s="1"/>
  <c r="T13" i="18" a="1"/>
  <c r="T13" i="18" s="1"/>
  <c r="R18" i="18"/>
  <c r="U18" i="18" s="1"/>
  <c r="R2" i="18"/>
  <c r="U2" i="18" s="1"/>
  <c r="P12" i="18" a="1"/>
  <c r="P12" i="18" s="1"/>
  <c r="R12" i="18" s="1"/>
  <c r="U12" i="18" s="1"/>
  <c r="T4" i="18" a="1"/>
  <c r="T4" i="18" s="1"/>
  <c r="P19" i="18" a="1"/>
  <c r="P19" i="18" s="1"/>
  <c r="R19" i="18" s="1"/>
  <c r="U19" i="18" s="1"/>
  <c r="P11" i="18" a="1"/>
  <c r="P11" i="18" s="1"/>
  <c r="R11" i="18" s="1"/>
  <c r="U11" i="18" s="1"/>
  <c r="P3" i="18" a="1"/>
  <c r="P3" i="18" s="1"/>
  <c r="R3" i="18" s="1"/>
  <c r="U3" i="18" s="1"/>
  <c r="O20" i="18" a="1"/>
  <c r="O20" i="18" s="1"/>
  <c r="O12" i="18" a="1"/>
  <c r="O12" i="18" s="1"/>
  <c r="O4" i="18" a="1"/>
  <c r="O4" i="18" s="1"/>
  <c r="P9" i="18" a="1"/>
  <c r="P9" i="18" s="1"/>
  <c r="R9" i="18" s="1"/>
  <c r="U9" i="18" s="1"/>
  <c r="T24" i="18" a="1"/>
  <c r="T24" i="18" s="1"/>
  <c r="P20" i="18" a="1"/>
  <c r="P20" i="18" s="1"/>
  <c r="R20" i="18" s="1"/>
  <c r="U20" i="18" s="1"/>
  <c r="T20" i="18" a="1"/>
  <c r="T20" i="18" s="1"/>
  <c r="T12" i="18" a="1"/>
  <c r="T12" i="18" s="1"/>
  <c r="T11" i="18" a="1"/>
  <c r="T11" i="18" s="1"/>
  <c r="T3" i="18" a="1"/>
  <c r="T3" i="18" s="1"/>
  <c r="S12" i="18" a="1"/>
  <c r="S12" i="18" s="1"/>
  <c r="S4" i="18" a="1"/>
  <c r="S4" i="18" s="1"/>
  <c r="O26" i="18" a="1"/>
  <c r="O26" i="18" s="1"/>
  <c r="P24" i="18" a="1"/>
  <c r="P24" i="18" s="1"/>
  <c r="R24" i="18" s="1"/>
  <c r="U24" i="18" s="1"/>
  <c r="P16" i="18" a="1"/>
  <c r="P16" i="18" s="1"/>
  <c r="R16" i="18" s="1"/>
  <c r="U16" i="18" s="1"/>
  <c r="P8" i="18" a="1"/>
  <c r="P8" i="18" s="1"/>
  <c r="R8" i="18" s="1"/>
  <c r="U8" i="18" s="1"/>
  <c r="O17" i="18" a="1"/>
  <c r="O17" i="18" s="1"/>
  <c r="O9" i="18" a="1"/>
  <c r="O9" i="18" s="1"/>
  <c r="S19" i="18" a="1"/>
  <c r="S19" i="18" s="1"/>
  <c r="S18" i="18" a="1"/>
  <c r="S18" i="18" s="1"/>
  <c r="P23" i="18" a="1"/>
  <c r="P23" i="18" s="1"/>
  <c r="R23" i="18" s="1"/>
  <c r="U23" i="18" s="1"/>
  <c r="P15" i="18" a="1"/>
  <c r="P15" i="18" s="1"/>
  <c r="R15" i="18" s="1"/>
  <c r="U15" i="18" s="1"/>
  <c r="P7" i="18" a="1"/>
  <c r="P7" i="18" s="1"/>
  <c r="R7" i="18" s="1"/>
  <c r="U7" i="18" s="1"/>
  <c r="O24" i="18" a="1"/>
  <c r="O24" i="18" s="1"/>
  <c r="O16" i="18" a="1"/>
  <c r="O16" i="18" s="1"/>
  <c r="O8" i="18" a="1"/>
  <c r="O8" i="18" s="1"/>
  <c r="S3" i="18" a="1"/>
  <c r="S3" i="18" s="1"/>
  <c r="S26" i="18" a="1"/>
  <c r="S26" i="18" s="1"/>
  <c r="T23" i="18" a="1"/>
  <c r="T23" i="18" s="1"/>
  <c r="T15" i="18" a="1"/>
  <c r="T15" i="18" s="1"/>
  <c r="T7" i="18" a="1"/>
  <c r="T7" i="18" s="1"/>
  <c r="S24" i="18" a="1"/>
  <c r="S24" i="18" s="1"/>
  <c r="S16" i="18" a="1"/>
  <c r="S16" i="18" s="1"/>
  <c r="S8" i="18" a="1"/>
  <c r="S8" i="18" s="1"/>
  <c r="T26" i="18" a="1"/>
  <c r="T26" i="18" s="1"/>
  <c r="O18" i="18" a="1"/>
  <c r="O18" i="18" s="1"/>
  <c r="T16" i="18" a="1"/>
  <c r="T16" i="18" s="1"/>
  <c r="P22" i="18" a="1"/>
  <c r="P22" i="18" s="1"/>
  <c r="R22" i="18" s="1"/>
  <c r="U22" i="18" s="1"/>
  <c r="P14" i="18" a="1"/>
  <c r="P14" i="18" s="1"/>
  <c r="R14" i="18" s="1"/>
  <c r="U14" i="18" s="1"/>
  <c r="P6" i="18" a="1"/>
  <c r="P6" i="18" s="1"/>
  <c r="R6" i="18" s="1"/>
  <c r="U6" i="18" s="1"/>
  <c r="O23" i="18" a="1"/>
  <c r="O23" i="18" s="1"/>
  <c r="O15" i="18" a="1"/>
  <c r="O15" i="18" s="1"/>
  <c r="O7" i="18" a="1"/>
  <c r="O7" i="18" s="1"/>
  <c r="P17" i="18" a="1"/>
  <c r="P17" i="18" s="1"/>
  <c r="R17" i="18" s="1"/>
  <c r="U17" i="18" s="1"/>
  <c r="S25" i="18" a="1"/>
  <c r="S25" i="18" s="1"/>
  <c r="T6" i="18" a="1"/>
  <c r="T6" i="18" s="1"/>
  <c r="S7" i="18" a="1"/>
  <c r="S7" i="18" s="1"/>
  <c r="T2" i="18" a="1"/>
  <c r="T2" i="18" s="1"/>
  <c r="T9" i="18" a="1"/>
  <c r="T9" i="18" s="1"/>
  <c r="T22" i="18" a="1"/>
  <c r="T22" i="18" s="1"/>
  <c r="T14" i="18" a="1"/>
  <c r="T14" i="18" s="1"/>
  <c r="S23" i="18" a="1"/>
  <c r="S23" i="18" s="1"/>
  <c r="S15" i="18" a="1"/>
  <c r="S15" i="18" s="1"/>
  <c r="P21" i="18" a="1"/>
  <c r="P21" i="18" s="1"/>
  <c r="R21" i="18" s="1"/>
  <c r="U21" i="18" s="1"/>
  <c r="P13" i="18" a="1"/>
  <c r="P13" i="18" s="1"/>
  <c r="R13" i="18" s="1"/>
  <c r="U13" i="18" s="1"/>
  <c r="O14" i="18" a="1"/>
  <c r="O14" i="18" s="1"/>
  <c r="T18" i="18" a="1"/>
  <c r="T18" i="18" s="1"/>
  <c r="T25" i="18" a="1"/>
  <c r="T25" i="18" s="1"/>
  <c r="T8" i="18" a="1"/>
  <c r="T8" i="18" s="1"/>
  <c r="S22" i="18" a="1"/>
  <c r="S22" i="18" s="1"/>
  <c r="S6" i="18" a="1"/>
  <c r="S6" i="18" s="1"/>
  <c r="T10" i="18" a="1"/>
  <c r="T10" i="18" s="1"/>
  <c r="O2" i="18" a="1"/>
  <c r="O2" i="18" s="1"/>
  <c r="T17" i="18" a="1"/>
  <c r="T17" i="18" s="1"/>
  <c r="S9" i="18" a="1"/>
  <c r="S9" i="18" s="1"/>
  <c r="P4" i="18" a="1"/>
  <c r="P4" i="18" s="1"/>
  <c r="R4" i="18" s="1"/>
  <c r="U4" i="18" s="1"/>
  <c r="O5" i="18" a="1"/>
  <c r="O5" i="18" s="1"/>
  <c r="O10" i="18" a="1"/>
  <c r="O10" i="18" s="1"/>
  <c r="S10" i="18" a="1"/>
  <c r="S10" i="18" s="1"/>
  <c r="T5" i="18" a="1"/>
  <c r="T5" i="18" s="1"/>
  <c r="O13" i="18" a="1"/>
  <c r="O13" i="18" s="1"/>
  <c r="S21" i="18" a="1"/>
  <c r="S21" i="18" s="1"/>
  <c r="R15" i="17" a="1"/>
  <c r="R15" i="17" s="1"/>
  <c r="R8" i="17" a="1"/>
  <c r="R8" i="17" s="1"/>
  <c r="T2" i="17" a="1"/>
  <c r="T2" i="17" s="1"/>
  <c r="S11" i="17" a="1"/>
  <c r="S11" i="17" s="1"/>
  <c r="S6" i="17" a="1"/>
  <c r="S6" i="17" s="1"/>
  <c r="N3" i="17" a="1"/>
  <c r="N3" i="17" s="1"/>
  <c r="V20" i="17" a="1"/>
  <c r="V20" i="17" s="1"/>
  <c r="V5" i="17" a="1"/>
  <c r="V5" i="17" s="1"/>
  <c r="S35" i="17" a="1"/>
  <c r="S35" i="17" s="1"/>
  <c r="T23" i="17" a="1"/>
  <c r="T23" i="17" s="1"/>
  <c r="N4" i="17" a="1"/>
  <c r="N4" i="17" s="1"/>
  <c r="X32" i="17" a="1"/>
  <c r="X32" i="17" s="1"/>
  <c r="Y32" i="17" s="1"/>
  <c r="Q32" i="17" s="1"/>
  <c r="W32" i="17" s="1"/>
  <c r="V24" i="17" a="1"/>
  <c r="V24" i="17" s="1"/>
  <c r="V7" i="17" a="1"/>
  <c r="V7" i="17" s="1"/>
  <c r="T3" i="17" a="1"/>
  <c r="T3" i="17" s="1"/>
  <c r="R20" i="17" a="1"/>
  <c r="R20" i="17" s="1"/>
  <c r="X31" i="17" a="1"/>
  <c r="X31" i="17" s="1"/>
  <c r="Y31" i="17" s="1"/>
  <c r="X34" i="17" a="1"/>
  <c r="X34" i="17" s="1"/>
  <c r="Y34" i="17" s="1"/>
  <c r="X6" i="17" a="1"/>
  <c r="X6" i="17" s="1"/>
  <c r="U14" i="17" a="1"/>
  <c r="U14" i="17" s="1"/>
  <c r="T24" i="17" a="1"/>
  <c r="T24" i="17" s="1"/>
  <c r="S12" i="17" a="1"/>
  <c r="S12" i="17" s="1"/>
  <c r="O8" i="17" a="1"/>
  <c r="O8" i="17" s="1"/>
  <c r="N11" i="17" a="1"/>
  <c r="N11" i="17" s="1"/>
  <c r="N10" i="17" a="1"/>
  <c r="N10" i="17" s="1"/>
  <c r="N26" i="17" a="1"/>
  <c r="N26" i="17" s="1"/>
  <c r="T26" i="17" a="1"/>
  <c r="T26" i="17" s="1"/>
  <c r="R26" i="17" a="1"/>
  <c r="R26" i="17" s="1"/>
  <c r="O26" i="17" a="1"/>
  <c r="O26" i="17" s="1"/>
  <c r="X28" i="17" a="1"/>
  <c r="X28" i="17" s="1"/>
  <c r="Y28" i="17" s="1"/>
  <c r="Q28" i="17" s="1"/>
  <c r="W28" i="17" s="1"/>
  <c r="X14" i="17" a="1"/>
  <c r="X14" i="17" s="1"/>
  <c r="Y14" i="17" s="1"/>
  <c r="U32" i="17" a="1"/>
  <c r="U32" i="17" s="1"/>
  <c r="T17" i="17" a="1"/>
  <c r="T17" i="17" s="1"/>
  <c r="S5" i="17" a="1"/>
  <c r="S5" i="17" s="1"/>
  <c r="X15" i="17" a="1"/>
  <c r="X15" i="17" s="1"/>
  <c r="R11" i="17" a="1"/>
  <c r="R11" i="17" s="1"/>
  <c r="O28" i="17" a="1"/>
  <c r="O28" i="17" s="1"/>
  <c r="N31" i="17" a="1"/>
  <c r="N31" i="17" s="1"/>
  <c r="U23" i="17" a="1"/>
  <c r="U23" i="17" s="1"/>
  <c r="V23" i="17" a="1"/>
  <c r="V23" i="17" s="1"/>
  <c r="S23" i="17" a="1"/>
  <c r="S23" i="17" s="1"/>
  <c r="N23" i="17" a="1"/>
  <c r="N23" i="17" s="1"/>
  <c r="R23" i="17" a="1"/>
  <c r="R23" i="17" s="1"/>
  <c r="O23" i="17" a="1"/>
  <c r="O23" i="17" s="1"/>
  <c r="X23" i="17" a="1"/>
  <c r="X23" i="17" s="1"/>
  <c r="Y23" i="17" s="1"/>
  <c r="U30" i="17" a="1"/>
  <c r="U30" i="17" s="1"/>
  <c r="X17" i="17" a="1"/>
  <c r="X17" i="17" s="1"/>
  <c r="Y17" i="17" s="1"/>
  <c r="X24" i="17" a="1"/>
  <c r="X24" i="17" s="1"/>
  <c r="Y24" i="17" s="1"/>
  <c r="N8" i="17" a="1"/>
  <c r="N8" i="17" s="1"/>
  <c r="O34" i="17" a="1"/>
  <c r="O34" i="17" s="1"/>
  <c r="N22" i="17" a="1"/>
  <c r="N22" i="17" s="1"/>
  <c r="S9" i="17" a="1"/>
  <c r="S9" i="17" s="1"/>
  <c r="N15" i="17" a="1"/>
  <c r="N15" i="17" s="1"/>
  <c r="V9" i="17" a="1"/>
  <c r="V9" i="17" s="1"/>
  <c r="O6" i="17" a="1"/>
  <c r="O6" i="17" s="1"/>
  <c r="N29" i="17" a="1"/>
  <c r="N29" i="17" s="1"/>
  <c r="N9" i="17" a="1"/>
  <c r="N9" i="17" s="1"/>
  <c r="R14" i="17" a="1"/>
  <c r="R14" i="17" s="1"/>
  <c r="R21" i="17" a="1"/>
  <c r="R21" i="17" s="1"/>
  <c r="R9" i="17" a="1"/>
  <c r="R9" i="17" s="1"/>
  <c r="V6" i="17" a="1"/>
  <c r="V6" i="17" s="1"/>
  <c r="O9" i="17" a="1"/>
  <c r="O9" i="17" s="1"/>
  <c r="X9" i="17" a="1"/>
  <c r="X9" i="17" s="1"/>
  <c r="Y9" i="17" s="1"/>
  <c r="U9" i="17" a="1"/>
  <c r="U9" i="17" s="1"/>
  <c r="U16" i="17" a="1"/>
  <c r="U16" i="17" s="1"/>
  <c r="V34" i="17" a="1"/>
  <c r="V34" i="17" s="1"/>
  <c r="Y6" i="17"/>
  <c r="U12" i="17" a="1"/>
  <c r="U12" i="17" s="1"/>
  <c r="R12" i="17" a="1"/>
  <c r="R12" i="17" s="1"/>
  <c r="O12" i="17" a="1"/>
  <c r="O12" i="17" s="1"/>
  <c r="X12" i="17" a="1"/>
  <c r="X12" i="17" s="1"/>
  <c r="Y12" i="17" s="1"/>
  <c r="Q12" i="17" s="1"/>
  <c r="W12" i="17" s="1"/>
  <c r="N12" i="17" a="1"/>
  <c r="N12" i="17" s="1"/>
  <c r="T12" i="17" a="1"/>
  <c r="T12" i="17" s="1"/>
  <c r="V36" i="17" a="1"/>
  <c r="V36" i="17" s="1"/>
  <c r="V31" i="17" a="1"/>
  <c r="V31" i="17" s="1"/>
  <c r="U7" i="17" a="1"/>
  <c r="U7" i="17" s="1"/>
  <c r="R7" i="17" a="1"/>
  <c r="R7" i="17" s="1"/>
  <c r="S22" i="17" a="1"/>
  <c r="S22" i="17" s="1"/>
  <c r="R10" i="17" a="1"/>
  <c r="R10" i="17" s="1"/>
  <c r="O32" i="17" a="1"/>
  <c r="O32" i="17" s="1"/>
  <c r="N13" i="17" a="1"/>
  <c r="N13" i="17" s="1"/>
  <c r="T13" i="17" a="1"/>
  <c r="T13" i="17" s="1"/>
  <c r="O13" i="17" a="1"/>
  <c r="O13" i="17" s="1"/>
  <c r="R13" i="17" a="1"/>
  <c r="R13" i="17" s="1"/>
  <c r="V19" i="17" a="1"/>
  <c r="V19" i="17" s="1"/>
  <c r="V18" i="17" a="1"/>
  <c r="V18" i="17" s="1"/>
  <c r="V17" i="17" a="1"/>
  <c r="V17" i="17" s="1"/>
  <c r="S25" i="17" a="1"/>
  <c r="S25" i="17" s="1"/>
  <c r="U6" i="17" a="1"/>
  <c r="U6" i="17" s="1"/>
  <c r="R29" i="17" a="1"/>
  <c r="R29" i="17" s="1"/>
  <c r="O22" i="17" a="1"/>
  <c r="O22" i="17" s="1"/>
  <c r="N25" i="17" a="1"/>
  <c r="N25" i="17" s="1"/>
  <c r="V4" i="17" a="1"/>
  <c r="V4" i="17" s="1"/>
  <c r="U13" i="17" a="1"/>
  <c r="U13" i="17" s="1"/>
  <c r="R33" i="17" a="1"/>
  <c r="R33" i="17" s="1"/>
  <c r="U28" i="17" a="1"/>
  <c r="U28" i="17" s="1"/>
  <c r="T16" i="17" a="1"/>
  <c r="T16" i="17" s="1"/>
  <c r="X26" i="17" a="1"/>
  <c r="X26" i="17" s="1"/>
  <c r="Y26" i="17" s="1"/>
  <c r="X13" i="17" a="1"/>
  <c r="X13" i="17" s="1"/>
  <c r="Y13" i="17" s="1"/>
  <c r="Q13" i="17" s="1"/>
  <c r="W13" i="17" s="1"/>
  <c r="U27" i="17" a="1"/>
  <c r="U27" i="17" s="1"/>
  <c r="T15" i="17" a="1"/>
  <c r="T15" i="17" s="1"/>
  <c r="V27" i="17" a="1"/>
  <c r="V27" i="17" s="1"/>
  <c r="V13" i="17" a="1"/>
  <c r="V13" i="17" s="1"/>
  <c r="U26" i="17" a="1"/>
  <c r="U26" i="17" s="1"/>
  <c r="S34" i="17" a="1"/>
  <c r="S34" i="17" s="1"/>
  <c r="R3" i="17" a="1"/>
  <c r="R3" i="17" s="1"/>
  <c r="N33" i="17" a="1"/>
  <c r="N33" i="17" s="1"/>
  <c r="T33" i="17" a="1"/>
  <c r="T33" i="17" s="1"/>
  <c r="O33" i="17" a="1"/>
  <c r="O33" i="17" s="1"/>
  <c r="X33" i="17" a="1"/>
  <c r="X33" i="17" s="1"/>
  <c r="Y33" i="17" s="1"/>
  <c r="Q33" i="17" s="1"/>
  <c r="W33" i="17" s="1"/>
  <c r="S33" i="17" a="1"/>
  <c r="S33" i="17" s="1"/>
  <c r="U33" i="17" a="1"/>
  <c r="U33" i="17" s="1"/>
  <c r="O29" i="17" a="1"/>
  <c r="O29" i="17" s="1"/>
  <c r="Y15" i="17"/>
  <c r="T31" i="17" a="1"/>
  <c r="T31" i="17" s="1"/>
  <c r="T10" i="17" a="1"/>
  <c r="T10" i="17" s="1"/>
  <c r="R28" i="17" a="1"/>
  <c r="R28" i="17" s="1"/>
  <c r="O21" i="17" a="1"/>
  <c r="O21" i="17" s="1"/>
  <c r="N24" i="17" a="1"/>
  <c r="N24" i="17" s="1"/>
  <c r="T22" i="17" a="1"/>
  <c r="T22" i="17" s="1"/>
  <c r="T35" i="17" a="1"/>
  <c r="T35" i="17" s="1"/>
  <c r="X35" i="17" a="1"/>
  <c r="X35" i="17" s="1"/>
  <c r="Y35" i="17" s="1"/>
  <c r="R35" i="17" a="1"/>
  <c r="R35" i="17" s="1"/>
  <c r="O35" i="17" a="1"/>
  <c r="O35" i="17" s="1"/>
  <c r="U35" i="17" a="1"/>
  <c r="U35" i="17" s="1"/>
  <c r="N35" i="17" a="1"/>
  <c r="N35" i="17" s="1"/>
  <c r="S4" i="17" a="1"/>
  <c r="S4" i="17" s="1"/>
  <c r="V26" i="17" a="1"/>
  <c r="V26" i="17" s="1"/>
  <c r="X22" i="17" a="1"/>
  <c r="X22" i="17" s="1"/>
  <c r="Y22" i="17" s="1"/>
  <c r="X8" i="17" a="1"/>
  <c r="X8" i="17" s="1"/>
  <c r="Y8" i="17" s="1"/>
  <c r="Q8" i="17" s="1"/>
  <c r="W8" i="17" s="1"/>
  <c r="V12" i="17" a="1"/>
  <c r="V12" i="17" s="1"/>
  <c r="U21" i="17" a="1"/>
  <c r="U21" i="17" s="1"/>
  <c r="S19" i="17" a="1"/>
  <c r="S19" i="17" s="1"/>
  <c r="N27" i="17" a="1"/>
  <c r="N27" i="17" s="1"/>
  <c r="T27" i="17" a="1"/>
  <c r="T27" i="17" s="1"/>
  <c r="O27" i="17" a="1"/>
  <c r="O27" i="17" s="1"/>
  <c r="X27" i="17" a="1"/>
  <c r="X27" i="17" s="1"/>
  <c r="Y27" i="17" s="1"/>
  <c r="Q27" i="17" s="1"/>
  <c r="W27" i="17" s="1"/>
  <c r="S27" i="17" a="1"/>
  <c r="S27" i="17" s="1"/>
  <c r="V3" i="17" a="1"/>
  <c r="V3" i="17" s="1"/>
  <c r="S26" i="17" a="1"/>
  <c r="S26" i="17" s="1"/>
  <c r="V35" i="17" a="1"/>
  <c r="V35" i="17" s="1"/>
  <c r="T30" i="17" a="1"/>
  <c r="T30" i="17" s="1"/>
  <c r="T9" i="17" a="1"/>
  <c r="T9" i="17" s="1"/>
  <c r="S18" i="17" a="1"/>
  <c r="S18" i="17" s="1"/>
  <c r="O15" i="17" a="1"/>
  <c r="O15" i="17" s="1"/>
  <c r="N18" i="17" a="1"/>
  <c r="N18" i="17" s="1"/>
  <c r="S36" i="17" a="1"/>
  <c r="S36" i="17" s="1"/>
  <c r="N36" i="17" a="1"/>
  <c r="N36" i="17" s="1"/>
  <c r="V11" i="17" a="1"/>
  <c r="V11" i="17" s="1"/>
  <c r="U20" i="17" a="1"/>
  <c r="U20" i="17" s="1"/>
  <c r="T29" i="17" a="1"/>
  <c r="T29" i="17" s="1"/>
  <c r="T8" i="17" a="1"/>
  <c r="T8" i="17" s="1"/>
  <c r="R22" i="17" a="1"/>
  <c r="R22" i="17" s="1"/>
  <c r="X29" i="17" a="1"/>
  <c r="X29" i="17" s="1"/>
  <c r="Y29" i="17" s="1"/>
  <c r="Q29" i="17" s="1"/>
  <c r="W29" i="17" s="1"/>
  <c r="R25" i="17" a="1"/>
  <c r="R25" i="17" s="1"/>
  <c r="X21" i="17" a="1"/>
  <c r="X21" i="17" s="1"/>
  <c r="Y21" i="17" s="1"/>
  <c r="Q21" i="17" s="1"/>
  <c r="W21" i="17" s="1"/>
  <c r="V25" i="17" a="1"/>
  <c r="V25" i="17" s="1"/>
  <c r="V10" i="17" a="1"/>
  <c r="V10" i="17" s="1"/>
  <c r="U34" i="17" a="1"/>
  <c r="U34" i="17" s="1"/>
  <c r="S13" i="17" a="1"/>
  <c r="S13" i="17" s="1"/>
  <c r="O14" i="17" a="1"/>
  <c r="O14" i="17" s="1"/>
  <c r="N17" i="17" a="1"/>
  <c r="N17" i="17" s="1"/>
  <c r="T19" i="17" a="1"/>
  <c r="T19" i="17" s="1"/>
  <c r="X30" i="17" a="1"/>
  <c r="X30" i="17" s="1"/>
  <c r="Y30" i="17" s="1"/>
  <c r="X16" i="17" a="1"/>
  <c r="X16" i="17" s="1"/>
  <c r="Y16" i="17" s="1"/>
  <c r="X2" i="17" a="1"/>
  <c r="X2" i="17" s="1"/>
  <c r="Y2" i="17" s="1"/>
  <c r="O30" i="17" a="1"/>
  <c r="O30" i="17" s="1"/>
  <c r="O16" i="17" a="1"/>
  <c r="O16" i="17" s="1"/>
  <c r="O2" i="17" a="1"/>
  <c r="O2" i="17" s="1"/>
  <c r="N19" i="17" a="1"/>
  <c r="N19" i="17" s="1"/>
  <c r="N5" i="17" a="1"/>
  <c r="N5" i="17" s="1"/>
  <c r="U29" i="17" a="1"/>
  <c r="U29" i="17" s="1"/>
  <c r="U22" i="17" a="1"/>
  <c r="U22" i="17" s="1"/>
  <c r="U15" i="17" a="1"/>
  <c r="U15" i="17" s="1"/>
  <c r="U8" i="17" a="1"/>
  <c r="U8" i="17" s="1"/>
  <c r="T36" i="17" a="1"/>
  <c r="T36" i="17" s="1"/>
  <c r="T25" i="17" a="1"/>
  <c r="T25" i="17" s="1"/>
  <c r="T18" i="17" a="1"/>
  <c r="T18" i="17" s="1"/>
  <c r="T11" i="17" a="1"/>
  <c r="T11" i="17" s="1"/>
  <c r="T4" i="17" a="1"/>
  <c r="T4" i="17" s="1"/>
  <c r="S20" i="17" a="1"/>
  <c r="S20" i="17" s="1"/>
  <c r="S7" i="17" a="1"/>
  <c r="S7" i="17" s="1"/>
  <c r="R30" i="17" a="1"/>
  <c r="R30" i="17" s="1"/>
  <c r="R16" i="17" a="1"/>
  <c r="R16" i="17" s="1"/>
  <c r="R2" i="17" a="1"/>
  <c r="R2" i="17" s="1"/>
  <c r="R32" i="17" a="1"/>
  <c r="R32" i="17" s="1"/>
  <c r="X20" i="17" a="1"/>
  <c r="X20" i="17" s="1"/>
  <c r="Y20" i="17" s="1"/>
  <c r="X7" i="17" a="1"/>
  <c r="X7" i="17" s="1"/>
  <c r="Y7" i="17" s="1"/>
  <c r="O20" i="17" a="1"/>
  <c r="O20" i="17" s="1"/>
  <c r="O7" i="17" a="1"/>
  <c r="O7" i="17" s="1"/>
  <c r="N30" i="17" a="1"/>
  <c r="N30" i="17" s="1"/>
  <c r="N16" i="17" a="1"/>
  <c r="N16" i="17" s="1"/>
  <c r="N2" i="17" a="1"/>
  <c r="N2" i="17" s="1"/>
  <c r="V2" i="17" a="1"/>
  <c r="V2" i="17" s="1"/>
  <c r="U5" i="17" a="1"/>
  <c r="U5" i="17" s="1"/>
  <c r="T28" i="17" a="1"/>
  <c r="T28" i="17" s="1"/>
  <c r="T21" i="17" a="1"/>
  <c r="T21" i="17" s="1"/>
  <c r="T14" i="17" a="1"/>
  <c r="T14" i="17" s="1"/>
  <c r="T32" i="17" a="1"/>
  <c r="T32" i="17" s="1"/>
  <c r="S31" i="17" a="1"/>
  <c r="S31" i="17" s="1"/>
  <c r="S24" i="17" a="1"/>
  <c r="S24" i="17" s="1"/>
  <c r="S17" i="17" a="1"/>
  <c r="S17" i="17" s="1"/>
  <c r="S10" i="17" a="1"/>
  <c r="S10" i="17" s="1"/>
  <c r="S3" i="17" a="1"/>
  <c r="S3" i="17" s="1"/>
  <c r="R34" i="17" a="1"/>
  <c r="R34" i="17" s="1"/>
  <c r="R6" i="17" a="1"/>
  <c r="R6" i="17" s="1"/>
  <c r="V16" i="17" a="1"/>
  <c r="V16" i="17" s="1"/>
  <c r="X19" i="17" a="1"/>
  <c r="X19" i="17" s="1"/>
  <c r="Y19" i="17" s="1"/>
  <c r="X5" i="17" a="1"/>
  <c r="X5" i="17" s="1"/>
  <c r="Y5" i="17" s="1"/>
  <c r="O19" i="17" a="1"/>
  <c r="O19" i="17" s="1"/>
  <c r="O5" i="17" a="1"/>
  <c r="O5" i="17" s="1"/>
  <c r="N28" i="17" a="1"/>
  <c r="N28" i="17" s="1"/>
  <c r="N21" i="17" a="1"/>
  <c r="N21" i="17" s="1"/>
  <c r="N14" i="17" a="1"/>
  <c r="N14" i="17" s="1"/>
  <c r="N32" i="17" a="1"/>
  <c r="N32" i="17" s="1"/>
  <c r="V29" i="17" a="1"/>
  <c r="V29" i="17" s="1"/>
  <c r="V22" i="17" a="1"/>
  <c r="V22" i="17" s="1"/>
  <c r="U36" i="17" a="1"/>
  <c r="U36" i="17" s="1"/>
  <c r="U25" i="17" a="1"/>
  <c r="U25" i="17" s="1"/>
  <c r="T20" i="17" a="1"/>
  <c r="T20" i="17" s="1"/>
  <c r="T7" i="17" a="1"/>
  <c r="T7" i="17" s="1"/>
  <c r="S30" i="17" a="1"/>
  <c r="S30" i="17" s="1"/>
  <c r="S16" i="17" a="1"/>
  <c r="S16" i="17" s="1"/>
  <c r="S2" i="17" a="1"/>
  <c r="S2" i="17" s="1"/>
  <c r="R19" i="17" a="1"/>
  <c r="R19" i="17" s="1"/>
  <c r="R5" i="17" a="1"/>
  <c r="R5" i="17" s="1"/>
  <c r="V30" i="17" a="1"/>
  <c r="V30" i="17" s="1"/>
  <c r="U19" i="17" a="1"/>
  <c r="U19" i="17" s="1"/>
  <c r="V15" i="17" a="1"/>
  <c r="V15" i="17" s="1"/>
  <c r="V8" i="17" a="1"/>
  <c r="V8" i="17" s="1"/>
  <c r="U18" i="17" a="1"/>
  <c r="U18" i="17" s="1"/>
  <c r="U11" i="17" a="1"/>
  <c r="U11" i="17" s="1"/>
  <c r="U4" i="17" a="1"/>
  <c r="U4" i="17" s="1"/>
  <c r="X36" i="17" a="1"/>
  <c r="X36" i="17" s="1"/>
  <c r="Y36" i="17" s="1"/>
  <c r="X25" i="17" a="1"/>
  <c r="X25" i="17" s="1"/>
  <c r="Y25" i="17" s="1"/>
  <c r="Q25" i="17" s="1"/>
  <c r="W25" i="17" s="1"/>
  <c r="X18" i="17" a="1"/>
  <c r="X18" i="17" s="1"/>
  <c r="Y18" i="17" s="1"/>
  <c r="X11" i="17" a="1"/>
  <c r="X11" i="17" s="1"/>
  <c r="Y11" i="17" s="1"/>
  <c r="Q11" i="17" s="1"/>
  <c r="W11" i="17" s="1"/>
  <c r="X4" i="17" a="1"/>
  <c r="X4" i="17" s="1"/>
  <c r="Y4" i="17" s="1"/>
  <c r="O36" i="17" a="1"/>
  <c r="O36" i="17" s="1"/>
  <c r="O25" i="17" a="1"/>
  <c r="O25" i="17" s="1"/>
  <c r="O18" i="17" a="1"/>
  <c r="O18" i="17" s="1"/>
  <c r="O11" i="17" a="1"/>
  <c r="O11" i="17" s="1"/>
  <c r="O4" i="17" a="1"/>
  <c r="O4" i="17" s="1"/>
  <c r="N20" i="17" a="1"/>
  <c r="N20" i="17" s="1"/>
  <c r="N7" i="17" a="1"/>
  <c r="N7" i="17" s="1"/>
  <c r="V28" i="17" a="1"/>
  <c r="V28" i="17" s="1"/>
  <c r="V21" i="17" a="1"/>
  <c r="V21" i="17" s="1"/>
  <c r="V14" i="17" a="1"/>
  <c r="V14" i="17" s="1"/>
  <c r="V32" i="17" a="1"/>
  <c r="V32" i="17" s="1"/>
  <c r="U31" i="17" a="1"/>
  <c r="U31" i="17" s="1"/>
  <c r="U24" i="17" a="1"/>
  <c r="U24" i="17" s="1"/>
  <c r="U17" i="17" a="1"/>
  <c r="U17" i="17" s="1"/>
  <c r="U10" i="17" a="1"/>
  <c r="U10" i="17" s="1"/>
  <c r="U3" i="17" a="1"/>
  <c r="U3" i="17" s="1"/>
  <c r="T34" i="17" a="1"/>
  <c r="T34" i="17" s="1"/>
  <c r="T6" i="17" a="1"/>
  <c r="T6" i="17" s="1"/>
  <c r="S29" i="17" a="1"/>
  <c r="S29" i="17" s="1"/>
  <c r="S15" i="17" a="1"/>
  <c r="S15" i="17" s="1"/>
  <c r="S8" i="17" a="1"/>
  <c r="S8" i="17" s="1"/>
  <c r="R36" i="17" a="1"/>
  <c r="R36" i="17" s="1"/>
  <c r="R18" i="17" a="1"/>
  <c r="R18" i="17" s="1"/>
  <c r="R4" i="17" a="1"/>
  <c r="R4" i="17" s="1"/>
  <c r="X10" i="17" a="1"/>
  <c r="X10" i="17" s="1"/>
  <c r="Y10" i="17" s="1"/>
  <c r="X3" i="17" a="1"/>
  <c r="X3" i="17" s="1"/>
  <c r="Y3" i="17" s="1"/>
  <c r="Q3" i="17" s="1"/>
  <c r="W3" i="17" s="1"/>
  <c r="O31" i="17" a="1"/>
  <c r="O31" i="17" s="1"/>
  <c r="O24" i="17" a="1"/>
  <c r="O24" i="17" s="1"/>
  <c r="O17" i="17" a="1"/>
  <c r="O17" i="17" s="1"/>
  <c r="O10" i="17" a="1"/>
  <c r="O10" i="17" s="1"/>
  <c r="O3" i="17" a="1"/>
  <c r="O3" i="17" s="1"/>
  <c r="N34" i="17" a="1"/>
  <c r="N34" i="17" s="1"/>
  <c r="N6" i="17" a="1"/>
  <c r="N6" i="17" s="1"/>
  <c r="U2" i="17" a="1"/>
  <c r="U2" i="17" s="1"/>
  <c r="T5" i="17" a="1"/>
  <c r="T5" i="17" s="1"/>
  <c r="S28" i="17" a="1"/>
  <c r="S28" i="17" s="1"/>
  <c r="S21" i="17" a="1"/>
  <c r="S21" i="17" s="1"/>
  <c r="S14" i="17" a="1"/>
  <c r="S14" i="17" s="1"/>
  <c r="S32" i="17" a="1"/>
  <c r="S32" i="17" s="1"/>
  <c r="R31" i="17" a="1"/>
  <c r="R31" i="17" s="1"/>
  <c r="R24" i="17" a="1"/>
  <c r="R24" i="17" s="1"/>
  <c r="R17" i="17" a="1"/>
  <c r="R17" i="17" s="1"/>
  <c r="Q9" i="17" l="1"/>
  <c r="W9" i="17" s="1"/>
  <c r="Q14" i="17"/>
  <c r="W14" i="17" s="1"/>
  <c r="Q2" i="17"/>
  <c r="W2" i="17" s="1"/>
  <c r="Q16" i="17"/>
  <c r="W16" i="17" s="1"/>
  <c r="Q30" i="17"/>
  <c r="W30" i="17" s="1"/>
  <c r="Q5" i="17"/>
  <c r="W5" i="17" s="1"/>
  <c r="Q6" i="17"/>
  <c r="W6" i="17" s="1"/>
  <c r="Q10" i="17"/>
  <c r="W10" i="17" s="1"/>
  <c r="Q19" i="17"/>
  <c r="W19" i="17" s="1"/>
  <c r="Q15" i="17"/>
  <c r="W15" i="17" s="1"/>
  <c r="Q26" i="17"/>
  <c r="W26" i="17" s="1"/>
  <c r="Q34" i="17"/>
  <c r="W34" i="17" s="1"/>
  <c r="Q4" i="17"/>
  <c r="W4" i="17" s="1"/>
  <c r="Q22" i="17"/>
  <c r="W22" i="17" s="1"/>
  <c r="Q31" i="17"/>
  <c r="W31" i="17" s="1"/>
  <c r="Q7" i="17"/>
  <c r="W7" i="17" s="1"/>
  <c r="Q23" i="17"/>
  <c r="W23" i="17" s="1"/>
  <c r="Q35" i="17"/>
  <c r="W35" i="17" s="1"/>
  <c r="Q18" i="17"/>
  <c r="W18" i="17" s="1"/>
  <c r="Q20" i="17"/>
  <c r="W20" i="17" s="1"/>
  <c r="Q24" i="17"/>
  <c r="W24" i="17" s="1"/>
  <c r="Q36" i="17"/>
  <c r="W36" i="17" s="1"/>
  <c r="Q17" i="17"/>
  <c r="W17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ex1\2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ex1\2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ex1\2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ex1\2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ex1\2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ex1\2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<sst xmlns="http://schemas.openxmlformats.org/spreadsheetml/2006/main" count="637" uniqueCount="99">
  <si>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</si>
  <si>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</si>
  <si>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</si>
  <si>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</si>
  <si>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</si>
  <si>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</si>
  <si>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</si>
  <si>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</si>
  <si>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</si>
  <si>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</si>
  <si>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</si>
  <si>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</si>
  <si>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</si>
  <si>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</si>
  <si>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</si>
  <si>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</si>
  <si>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</si>
  <si>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</si>
  <si>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</si>
  <si>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</si>
  <si>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</si>
  <si>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</si>
  <si>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</si>
  <si>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</si>
  <si>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</si>
  <si>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</si>
  <si>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</si>
  <si>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</si>
  <si>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</si>
  <si>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</si>
  <si>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</si>
  <si>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</si>
  <si>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</si>
  <si>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</si>
  <si>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</si>
  <si>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</si>
  <si>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</si>
  <si>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</si>
  <si>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</si>
  <si>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</si>
  <si>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</si>
  <si>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</si>
  <si>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</si>
  <si>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</si>
  <si>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</si>
  <si>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</si>
  <si>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</si>
  <si>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</si>
  <si>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</si>
  <si>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</si>
  <si>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</si>
  <si>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</si>
  <si>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</si>
  <si>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</si>
  <si>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</si>
  <si>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</si>
  <si>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</si>
  <si>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</si>
  <si>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</si>
  <si>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</si>
  <si>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</si>
  <si>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</si>
  <si>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</si>
  <si>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</si>
  <si>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</si>
  <si>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</si>
  <si>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</si>
  <si>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</si>
  <si>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E:\programming\Data-Science\model\production\Arena\Ex1\2.p</t>
  </si>
  <si>
    <t>2025-04-28 16:09:57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</si>
  <si>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</si>
  <si>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</si>
  <si>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</si>
  <si>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</si>
  <si>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</si>
  <si>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</si>
  <si>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</si>
  <si>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</si>
  <si>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 3.Queue</t>
  </si>
  <si>
    <t>Waiting Time</t>
  </si>
  <si>
    <t>Queue</t>
  </si>
  <si>
    <t>WIP</t>
  </si>
  <si>
    <t>Number Waiting</t>
  </si>
  <si>
    <t>Resource 1</t>
  </si>
  <si>
    <t>Instantaneous Utilization</t>
  </si>
  <si>
    <t>Resource</t>
  </si>
  <si>
    <t>Number Busy</t>
  </si>
  <si>
    <t>Number Scheduled</t>
  </si>
  <si>
    <t>Part.NumberIn</t>
  </si>
  <si>
    <t>Number In</t>
  </si>
  <si>
    <t>Part.NumberOut</t>
  </si>
  <si>
    <t>Number Out</t>
  </si>
  <si>
    <t>Resource 1.NumberSeized</t>
  </si>
  <si>
    <t>Total Number Seized</t>
  </si>
  <si>
    <t>Resource 1.ScheduledUtilization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</si>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</sst>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3696874997" createdVersion="7" refreshedVersion="8" minRefreshableVersion="3" recordCount="3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1">
        <s v="Part"/>
        <s v="Process 3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.26537456589806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0.50031439868189398"/>
    </cacheField>
    <cacheField name="Maximum" numFmtId="0">
      <sharedItems containsSemiMixedTypes="0" containsString="0" containsNumber="1" minValue="0" maxValue="4.9504233378916096"/>
    </cacheField>
    <cacheField name="NumberObservations" numFmtId="0">
      <sharedItems containsSemiMixedTypes="0" containsString="0" containsNumber="1" containsInteger="1" minValue="5974" maxValue="6011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1.253711020380178"/>
    </cacheField>
    <cacheField name="StDevOfAverage" numFmtId="0">
      <sharedItems containsSemiMixedTypes="0" containsString="0" containsNumber="1" minValue="0" maxValue="1.0855466000157715E-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3478841316120848E-2"/>
    </cacheField>
    <cacheField name="MinimumAverage" numFmtId="0">
      <sharedItems containsSemiMixedTypes="0" containsString="0" containsNumber="1" minValue="0" maxValue="1.2359524311759"/>
    </cacheField>
    <cacheField name="MaximumAverage" numFmtId="0">
      <sharedItems containsSemiMixedTypes="0" containsString="0" containsNumber="1" minValue="0" maxValue="1.26537456589806"/>
    </cacheField>
    <cacheField name="OverallMinimum" numFmtId="0">
      <sharedItems containsSemiMixedTypes="0" containsString="0" containsNumber="1" minValue="0" maxValue="0.50002014274468798"/>
    </cacheField>
    <cacheField name="OverallMaximum" numFmtId="0">
      <sharedItems containsSemiMixedTypes="0" containsString="0" containsNumber="1" minValue="0" maxValue="4.9504233378916096"/>
    </cacheField>
    <cacheField name="AverageNumberObservations" numFmtId="0">
      <sharedItems containsSemiMixedTypes="0" containsString="0" containsNumber="1" minValue="5989" maxValue="5989.6"/>
    </cacheField>
    <cacheField name="SummaryHalfWidth" numFmtId="0">
      <sharedItems containsSemiMixedTypes="0" containsString="0" containsNumber="1" minValue="0" maxValue="1.3478841316120848E-2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3696990743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1">
        <s v="Part.NumberIn"/>
        <s v="Part.NumberOut"/>
        <s v="Resource 1.NumberSeized"/>
        <s v="Resource 1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69765401469752297" maxValue="601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70058615567283034" maxValue="5989.8"/>
    </cacheField>
    <cacheField name="StandardDeviation" numFmtId="0">
      <sharedItems containsSemiMixedTypes="0" containsString="0" containsNumber="1" minValue="2.0545725290783091E-3" maxValue="14.88959368149446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5510887410549921E-3" maxValue="18.487872422193924"/>
    </cacheField>
    <cacheField name="Minimum" numFmtId="0">
      <sharedItems containsSemiMixedTypes="0" containsString="0" containsNumber="1" minValue="0.69765401469752297" maxValue="5974"/>
    </cacheField>
    <cacheField name="Maximum" numFmtId="0">
      <sharedItems containsSemiMixedTypes="0" containsString="0" containsNumber="1" minValue="0.70280900871666097" maxValue="60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3697222221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3697337967" createdVersion="7" refreshedVersion="8" minRefreshableVersion="3" recordCount="2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6">
        <s v="Part"/>
        <s v="Process 3.Queue"/>
        <s v="Resource 1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.125993402961846" maxValue="1"/>
    </cacheField>
    <cacheField name="BatchMeansHalfWidth" numFmtId="0">
      <sharedItems containsSemiMixedTypes="0" containsString="0" containsNumber="1" minValue="7.1025676939685803E-3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5"/>
    </cacheField>
    <cacheField name="LastRecordedValue" numFmtId="0">
      <sharedItems containsSemiMixedTypes="0" containsString="0" containsNumber="1" containsInteger="1" minValue="0" maxValue="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13374999287411979" maxValue="1"/>
    </cacheField>
    <cacheField name="StDevOfAverage" numFmtId="0">
      <sharedItems containsSemiMixedTypes="0" containsString="0" containsNumber="1" minValue="0" maxValue="6.2264402382012024E-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7.7311466807417012E-3"/>
    </cacheField>
    <cacheField name="MinimumAverage" numFmtId="0">
      <sharedItems containsSemiMixedTypes="0" containsString="0" containsNumber="1" minValue="0.125993402961846" maxValue="1"/>
    </cacheField>
    <cacheField name="MaximumAverage" numFmtId="0">
      <sharedItems containsSemiMixedTypes="0" containsString="0" containsNumber="1" minValue="0.14077226187283901" maxValue="1"/>
    </cacheField>
    <cacheField name="SummaryHalfWidth" numFmtId="0">
      <sharedItems containsSemiMixedTypes="0" containsString="0" containsNumber="1" minValue="0" maxValue="7.7311466807417012E-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3697569444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5-04-28 16:09:57"/>
    <n v="1"/>
    <x v="0"/>
    <x v="0"/>
    <x v="0"/>
    <n v="0"/>
    <n v="0"/>
    <n v="0"/>
    <n v="0"/>
    <n v="5994"/>
    <s v="Unnamed ProjectPartNVA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1"/>
    <x v="0"/>
    <x v="1"/>
    <x v="0"/>
    <n v="0"/>
    <n v="0"/>
    <n v="0"/>
    <n v="0"/>
    <n v="5994"/>
    <s v="Unnamed ProjectPartOther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1"/>
    <x v="0"/>
    <x v="2"/>
    <x v="0"/>
    <n v="1.26537456589806"/>
    <n v="2.3515387083638799E-2"/>
    <n v="0.50021087989352997"/>
    <n v="4.8381694055406097"/>
    <n v="5994"/>
    <s v="Unnamed ProjectPartTotal TimeEntity"/>
    <n v="5"/>
    <n v="1.253711020380178"/>
    <n v="1.0855466000157715E-2"/>
    <n v="0.95"/>
    <n v="1.3478841316120848E-2"/>
    <n v="1.2359524311759"/>
    <n v="1.26537456589806"/>
    <n v="0.50002014274468798"/>
    <n v="4.9504233378916096"/>
    <n v="5989"/>
    <n v="1.3478841316120848E-2"/>
    <n v="5"/>
    <n v="1"/>
  </r>
  <r>
    <x v="0"/>
    <s v="2025-04-28 16:09:57"/>
    <n v="1"/>
    <x v="0"/>
    <x v="3"/>
    <x v="0"/>
    <n v="0"/>
    <n v="0"/>
    <n v="0"/>
    <n v="0"/>
    <n v="5994"/>
    <s v="Unnamed ProjectPartTransfer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1"/>
    <x v="0"/>
    <x v="4"/>
    <x v="0"/>
    <n v="1.0540576197204401"/>
    <n v="3E+20"/>
    <n v="0.50021087989352997"/>
    <n v="1.60585924233055"/>
    <n v="5994"/>
    <s v="Unnamed ProjectPartVA TimeEntity"/>
    <n v="5"/>
    <n v="1.0527713940760601"/>
    <n v="4.770801709127144E-3"/>
    <n v="0.95"/>
    <n v="5.9237327247921596E-3"/>
    <n v="1.04747342063617"/>
    <n v="1.05884883095601"/>
    <n v="0.50002014274468798"/>
    <n v="1.6059959295289401"/>
    <n v="5989"/>
    <n v="5.9237327247921596E-3"/>
    <n v="5"/>
    <n v="1"/>
  </r>
  <r>
    <x v="0"/>
    <s v="2025-04-28 16:09:57"/>
    <n v="1"/>
    <x v="0"/>
    <x v="5"/>
    <x v="0"/>
    <n v="0.21131694617762301"/>
    <n v="1.9820567793044901E-2"/>
    <n v="0"/>
    <n v="3.5376145392629001"/>
    <n v="5994"/>
    <s v="Unnamed ProjectPartWait TimeEntity"/>
    <n v="5"/>
    <n v="0.20093962630411721"/>
    <n v="9.0059334139769402E-3"/>
    <n v="0.95"/>
    <n v="1.118234329035548E-2"/>
    <n v="0.18847901053973501"/>
    <n v="0.21131694617762301"/>
    <n v="0"/>
    <n v="4.1060321805034601"/>
    <n v="5989"/>
    <n v="1.118234329035548E-2"/>
    <n v="5"/>
    <n v="1"/>
  </r>
  <r>
    <x v="0"/>
    <s v="2025-04-28 16:09:57"/>
    <n v="2"/>
    <x v="0"/>
    <x v="0"/>
    <x v="0"/>
    <n v="0"/>
    <n v="0"/>
    <n v="0"/>
    <n v="0"/>
    <n v="5978"/>
    <s v="Unnamed ProjectPartNVA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2"/>
    <x v="0"/>
    <x v="1"/>
    <x v="0"/>
    <n v="0"/>
    <n v="0"/>
    <n v="0"/>
    <n v="0"/>
    <n v="5978"/>
    <s v="Unnamed ProjectPartOther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2"/>
    <x v="0"/>
    <x v="2"/>
    <x v="0"/>
    <n v="1.2535619338714099"/>
    <n v="2.7116573217798701E-2"/>
    <n v="0.50004629887916996"/>
    <n v="4.9125892044073698"/>
    <n v="5978"/>
    <s v="Unnamed ProjectPartTotal TimeEntity"/>
    <n v="5"/>
    <n v="1.253711020380178"/>
    <n v="1.0855466000157715E-2"/>
    <n v="0.95"/>
    <n v="1.3478841316120848E-2"/>
    <n v="1.2359524311759"/>
    <n v="1.26537456589806"/>
    <n v="0.50002014274468798"/>
    <n v="4.9504233378916096"/>
    <n v="5989"/>
    <n v="1.3478841316120848E-2"/>
    <n v="5"/>
    <n v="1"/>
  </r>
  <r>
    <x v="0"/>
    <s v="2025-04-28 16:09:57"/>
    <n v="2"/>
    <x v="0"/>
    <x v="3"/>
    <x v="0"/>
    <n v="0"/>
    <n v="0"/>
    <n v="0"/>
    <n v="0"/>
    <n v="5978"/>
    <s v="Unnamed ProjectPartTransfer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2"/>
    <x v="0"/>
    <x v="4"/>
    <x v="0"/>
    <n v="1.05507400468169"/>
    <n v="8.5977132982263706E-3"/>
    <n v="0.50004629887916996"/>
    <n v="1.6059111451590999"/>
    <n v="5978"/>
    <s v="Unnamed ProjectPartVA TimeEntity"/>
    <n v="5"/>
    <n v="1.0527713940760601"/>
    <n v="4.770801709127144E-3"/>
    <n v="0.95"/>
    <n v="5.9237327247921596E-3"/>
    <n v="1.04747342063617"/>
    <n v="1.05884883095601"/>
    <n v="0.50002014274468798"/>
    <n v="1.6059959295289401"/>
    <n v="5989"/>
    <n v="5.9237327247921596E-3"/>
    <n v="5"/>
    <n v="1"/>
  </r>
  <r>
    <x v="0"/>
    <s v="2025-04-28 16:09:57"/>
    <n v="2"/>
    <x v="0"/>
    <x v="5"/>
    <x v="0"/>
    <n v="0.198487929189722"/>
    <n v="2.38191535453516E-2"/>
    <n v="0"/>
    <n v="4.1060321805034601"/>
    <n v="5978"/>
    <s v="Unnamed ProjectPartWait TimeEntity"/>
    <n v="5"/>
    <n v="0.20093962630411721"/>
    <n v="9.0059334139769402E-3"/>
    <n v="0.95"/>
    <n v="1.118234329035548E-2"/>
    <n v="0.18847901053973501"/>
    <n v="0.21131694617762301"/>
    <n v="0"/>
    <n v="4.1060321805034601"/>
    <n v="5989"/>
    <n v="1.118234329035548E-2"/>
    <n v="5"/>
    <n v="1"/>
  </r>
  <r>
    <x v="0"/>
    <s v="2025-04-28 16:09:57"/>
    <n v="3"/>
    <x v="0"/>
    <x v="0"/>
    <x v="0"/>
    <n v="0"/>
    <n v="0"/>
    <n v="0"/>
    <n v="0"/>
    <n v="6010"/>
    <s v="Unnamed ProjectPartNVA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3"/>
    <x v="0"/>
    <x v="1"/>
    <x v="0"/>
    <n v="0"/>
    <n v="0"/>
    <n v="0"/>
    <n v="0"/>
    <n v="6010"/>
    <s v="Unnamed ProjectPartOther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3"/>
    <x v="0"/>
    <x v="2"/>
    <x v="0"/>
    <n v="1.2359524311759"/>
    <n v="2.0555098306306599E-2"/>
    <n v="0.50031439868189398"/>
    <n v="4.0352989318889696"/>
    <n v="6010"/>
    <s v="Unnamed ProjectPartTotal TimeEntity"/>
    <n v="5"/>
    <n v="1.253711020380178"/>
    <n v="1.0855466000157715E-2"/>
    <n v="0.95"/>
    <n v="1.3478841316120848E-2"/>
    <n v="1.2359524311759"/>
    <n v="1.26537456589806"/>
    <n v="0.50002014274468798"/>
    <n v="4.9504233378916096"/>
    <n v="5989"/>
    <n v="1.3478841316120848E-2"/>
    <n v="5"/>
    <n v="1"/>
  </r>
  <r>
    <x v="0"/>
    <s v="2025-04-28 16:09:57"/>
    <n v="3"/>
    <x v="0"/>
    <x v="3"/>
    <x v="0"/>
    <n v="0"/>
    <n v="0"/>
    <n v="0"/>
    <n v="0"/>
    <n v="6010"/>
    <s v="Unnamed ProjectPartTransfer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3"/>
    <x v="0"/>
    <x v="4"/>
    <x v="0"/>
    <n v="1.04747342063617"/>
    <n v="7.0279416462320603E-3"/>
    <n v="0.50031439868189398"/>
    <n v="1.6059959295289401"/>
    <n v="6010"/>
    <s v="Unnamed ProjectPartVA TimeEntity"/>
    <n v="5"/>
    <n v="1.0527713940760601"/>
    <n v="4.770801709127144E-3"/>
    <n v="0.95"/>
    <n v="5.9237327247921596E-3"/>
    <n v="1.04747342063617"/>
    <n v="1.05884883095601"/>
    <n v="0.50002014274468798"/>
    <n v="1.6059959295289401"/>
    <n v="5989"/>
    <n v="5.9237327247921596E-3"/>
    <n v="5"/>
    <n v="1"/>
  </r>
  <r>
    <x v="0"/>
    <s v="2025-04-28 16:09:57"/>
    <n v="3"/>
    <x v="0"/>
    <x v="5"/>
    <x v="0"/>
    <n v="0.18847901053973501"/>
    <n v="1.8439319521351801E-2"/>
    <n v="0"/>
    <n v="2.7204461591027198"/>
    <n v="6010"/>
    <s v="Unnamed ProjectPartWait TimeEntity"/>
    <n v="5"/>
    <n v="0.20093962630411721"/>
    <n v="9.0059334139769402E-3"/>
    <n v="0.95"/>
    <n v="1.118234329035548E-2"/>
    <n v="0.18847901053973501"/>
    <n v="0.21131694617762301"/>
    <n v="0"/>
    <n v="4.1060321805034601"/>
    <n v="5989"/>
    <n v="1.118234329035548E-2"/>
    <n v="5"/>
    <n v="1"/>
  </r>
  <r>
    <x v="0"/>
    <s v="2025-04-28 16:09:57"/>
    <n v="4"/>
    <x v="0"/>
    <x v="0"/>
    <x v="0"/>
    <n v="0"/>
    <n v="0"/>
    <n v="0"/>
    <n v="0"/>
    <n v="5974"/>
    <s v="Unnamed ProjectPartNVA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4"/>
    <x v="0"/>
    <x v="1"/>
    <x v="0"/>
    <n v="0"/>
    <n v="0"/>
    <n v="0"/>
    <n v="0"/>
    <n v="5974"/>
    <s v="Unnamed ProjectPartOther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4"/>
    <x v="0"/>
    <x v="2"/>
    <x v="0"/>
    <n v="1.2573031790929801"/>
    <n v="2.6116750735648599E-2"/>
    <n v="0.50002014274468798"/>
    <n v="4.3443435464682798"/>
    <n v="5974"/>
    <s v="Unnamed ProjectPartTotal TimeEntity"/>
    <n v="5"/>
    <n v="1.253711020380178"/>
    <n v="1.0855466000157715E-2"/>
    <n v="0.95"/>
    <n v="1.3478841316120848E-2"/>
    <n v="1.2359524311759"/>
    <n v="1.26537456589806"/>
    <n v="0.50002014274468798"/>
    <n v="4.9504233378916096"/>
    <n v="5989"/>
    <n v="1.3478841316120848E-2"/>
    <n v="5"/>
    <n v="1"/>
  </r>
  <r>
    <x v="0"/>
    <s v="2025-04-28 16:09:57"/>
    <n v="4"/>
    <x v="0"/>
    <x v="3"/>
    <x v="0"/>
    <n v="0"/>
    <n v="0"/>
    <n v="0"/>
    <n v="0"/>
    <n v="5974"/>
    <s v="Unnamed ProjectPartTransfer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4"/>
    <x v="0"/>
    <x v="4"/>
    <x v="0"/>
    <n v="1.05884883095601"/>
    <n v="8.0658066706240407E-3"/>
    <n v="0.50002014274468798"/>
    <n v="1.60589467554701"/>
    <n v="5974"/>
    <s v="Unnamed ProjectPartVA TimeEntity"/>
    <n v="5"/>
    <n v="1.0527713940760601"/>
    <n v="4.770801709127144E-3"/>
    <n v="0.95"/>
    <n v="5.9237327247921596E-3"/>
    <n v="1.04747342063617"/>
    <n v="1.05884883095601"/>
    <n v="0.50002014274468798"/>
    <n v="1.6059959295289401"/>
    <n v="5989"/>
    <n v="5.9237327247921596E-3"/>
    <n v="5"/>
    <n v="1"/>
  </r>
  <r>
    <x v="0"/>
    <s v="2025-04-28 16:09:57"/>
    <n v="4"/>
    <x v="0"/>
    <x v="5"/>
    <x v="0"/>
    <n v="0.19845434813696"/>
    <n v="2.1697464873626501E-2"/>
    <n v="0"/>
    <n v="3.09233624899161"/>
    <n v="5974"/>
    <s v="Unnamed ProjectPartWait TimeEntity"/>
    <n v="5"/>
    <n v="0.20093962630411721"/>
    <n v="9.0059334139769402E-3"/>
    <n v="0.95"/>
    <n v="1.118234329035548E-2"/>
    <n v="0.18847901053973501"/>
    <n v="0.21131694617762301"/>
    <n v="0"/>
    <n v="4.1060321805034601"/>
    <n v="5989"/>
    <n v="1.118234329035548E-2"/>
    <n v="5"/>
    <n v="1"/>
  </r>
  <r>
    <x v="0"/>
    <s v="2025-04-28 16:09:57"/>
    <n v="5"/>
    <x v="0"/>
    <x v="0"/>
    <x v="0"/>
    <n v="0"/>
    <n v="0"/>
    <n v="0"/>
    <n v="0"/>
    <n v="5989"/>
    <s v="Unnamed ProjectPartNVA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5"/>
    <x v="0"/>
    <x v="1"/>
    <x v="0"/>
    <n v="0"/>
    <n v="0"/>
    <n v="0"/>
    <n v="0"/>
    <n v="5989"/>
    <s v="Unnamed ProjectPartOther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5"/>
    <x v="0"/>
    <x v="2"/>
    <x v="0"/>
    <n v="1.2563629918625401"/>
    <n v="3.2193509726060797E-2"/>
    <n v="0.50015981165824996"/>
    <n v="4.9504233378916096"/>
    <n v="5989"/>
    <s v="Unnamed ProjectPartTotal TimeEntity"/>
    <n v="5"/>
    <n v="1.253711020380178"/>
    <n v="1.0855466000157715E-2"/>
    <n v="0.95"/>
    <n v="1.3478841316120848E-2"/>
    <n v="1.2359524311759"/>
    <n v="1.26537456589806"/>
    <n v="0.50002014274468798"/>
    <n v="4.9504233378916096"/>
    <n v="5989"/>
    <n v="1.3478841316120848E-2"/>
    <n v="5"/>
    <n v="1"/>
  </r>
  <r>
    <x v="0"/>
    <s v="2025-04-28 16:09:57"/>
    <n v="5"/>
    <x v="0"/>
    <x v="3"/>
    <x v="0"/>
    <n v="0"/>
    <n v="0"/>
    <n v="0"/>
    <n v="0"/>
    <n v="5989"/>
    <s v="Unnamed ProjectPartTransfer TimeEntity"/>
    <n v="5"/>
    <n v="0"/>
    <n v="0"/>
    <n v="0.95"/>
    <n v="0"/>
    <n v="0"/>
    <n v="0"/>
    <n v="0"/>
    <n v="0"/>
    <n v="5989"/>
    <n v="0"/>
    <n v="5"/>
    <n v="1"/>
  </r>
  <r>
    <x v="0"/>
    <s v="2025-04-28 16:09:57"/>
    <n v="5"/>
    <x v="0"/>
    <x v="4"/>
    <x v="0"/>
    <n v="1.0484030943859901"/>
    <n v="8.0726968513263608E-3"/>
    <n v="0.500132660244617"/>
    <n v="1.6058812594965299"/>
    <n v="5989"/>
    <s v="Unnamed ProjectPartVA TimeEntity"/>
    <n v="5"/>
    <n v="1.0527713940760601"/>
    <n v="4.770801709127144E-3"/>
    <n v="0.95"/>
    <n v="5.9237327247921596E-3"/>
    <n v="1.04747342063617"/>
    <n v="1.05884883095601"/>
    <n v="0.50002014274468798"/>
    <n v="1.6059959295289401"/>
    <n v="5989"/>
    <n v="5.9237327247921596E-3"/>
    <n v="5"/>
    <n v="1"/>
  </r>
  <r>
    <x v="0"/>
    <s v="2025-04-28 16:09:57"/>
    <n v="5"/>
    <x v="0"/>
    <x v="5"/>
    <x v="0"/>
    <n v="0.207959897476546"/>
    <n v="2.7096793105302001E-2"/>
    <n v="0"/>
    <n v="3.6071218561414802"/>
    <n v="5989"/>
    <s v="Unnamed ProjectPartWait TimeEntity"/>
    <n v="5"/>
    <n v="0.20093962630411721"/>
    <n v="9.0059334139769402E-3"/>
    <n v="0.95"/>
    <n v="1.118234329035548E-2"/>
    <n v="0.18847901053973501"/>
    <n v="0.21131694617762301"/>
    <n v="0"/>
    <n v="4.1060321805034601"/>
    <n v="5989"/>
    <n v="1.118234329035548E-2"/>
    <n v="5"/>
    <n v="1"/>
  </r>
  <r>
    <x v="0"/>
    <s v="2025-04-28 16:09:57"/>
    <n v="1"/>
    <x v="1"/>
    <x v="6"/>
    <x v="1"/>
    <n v="0.21133450489667199"/>
    <n v="1.9820567793044901E-2"/>
    <n v="0"/>
    <n v="3.5376145392629001"/>
    <n v="5995"/>
    <s v="Unnamed ProjectProcess 3.QueueWaiting TimeQueue"/>
    <n v="5"/>
    <n v="0.20096920288947179"/>
    <n v="8.9688376407337442E-3"/>
    <n v="0.95"/>
    <n v="1.1136282804233873E-2"/>
    <n v="0.188599051615854"/>
    <n v="0.21133450489667199"/>
    <n v="0"/>
    <n v="4.1060321805034601"/>
    <n v="5989.6"/>
    <n v="1.1136282804233873E-2"/>
    <n v="5"/>
    <n v="1"/>
  </r>
  <r>
    <x v="0"/>
    <s v="2025-04-28 16:09:57"/>
    <n v="2"/>
    <x v="1"/>
    <x v="6"/>
    <x v="1"/>
    <n v="0.19845473167689501"/>
    <n v="2.38191535453516E-2"/>
    <n v="0"/>
    <n v="4.1060321805034601"/>
    <n v="5979"/>
    <s v="Unnamed ProjectProcess 3.QueueWaiting TimeQueue"/>
    <n v="5"/>
    <n v="0.20096920288947179"/>
    <n v="8.9688376407337442E-3"/>
    <n v="0.95"/>
    <n v="1.1136282804233873E-2"/>
    <n v="0.188599051615854"/>
    <n v="0.21133450489667199"/>
    <n v="0"/>
    <n v="4.1060321805034601"/>
    <n v="5989.6"/>
    <n v="1.1136282804233873E-2"/>
    <n v="5"/>
    <n v="1"/>
  </r>
  <r>
    <x v="0"/>
    <s v="2025-04-28 16:09:57"/>
    <n v="3"/>
    <x v="1"/>
    <x v="6"/>
    <x v="1"/>
    <n v="0.188599051615854"/>
    <n v="1.8439319521351801E-2"/>
    <n v="0"/>
    <n v="2.7204461591027198"/>
    <n v="6011"/>
    <s v="Unnamed ProjectProcess 3.QueueWaiting TimeQueue"/>
    <n v="5"/>
    <n v="0.20096920288947179"/>
    <n v="8.9688376407337442E-3"/>
    <n v="0.95"/>
    <n v="1.1136282804233873E-2"/>
    <n v="0.188599051615854"/>
    <n v="0.21133450489667199"/>
    <n v="0"/>
    <n v="4.1060321805034601"/>
    <n v="5989.6"/>
    <n v="1.1136282804233873E-2"/>
    <n v="5"/>
    <n v="1"/>
  </r>
  <r>
    <x v="0"/>
    <s v="2025-04-28 16:09:57"/>
    <n v="4"/>
    <x v="1"/>
    <x v="6"/>
    <x v="1"/>
    <n v="0.19849782878139199"/>
    <n v="2.11993164485294E-2"/>
    <n v="0"/>
    <n v="3.09233624899161"/>
    <n v="5974"/>
    <s v="Unnamed ProjectProcess 3.QueueWaiting TimeQueue"/>
    <n v="5"/>
    <n v="0.20096920288947179"/>
    <n v="8.9688376407337442E-3"/>
    <n v="0.95"/>
    <n v="1.1136282804233873E-2"/>
    <n v="0.188599051615854"/>
    <n v="0.21133450489667199"/>
    <n v="0"/>
    <n v="4.1060321805034601"/>
    <n v="5989.6"/>
    <n v="1.1136282804233873E-2"/>
    <n v="5"/>
    <n v="1"/>
  </r>
  <r>
    <x v="0"/>
    <s v="2025-04-28 16:09:57"/>
    <n v="5"/>
    <x v="1"/>
    <x v="6"/>
    <x v="1"/>
    <n v="0.207959897476546"/>
    <n v="2.7096793105302001E-2"/>
    <n v="0"/>
    <n v="3.6071218561414802"/>
    <n v="5989"/>
    <s v="Unnamed ProjectProcess 3.QueueWaiting TimeQueue"/>
    <n v="5"/>
    <n v="0.20096920288947179"/>
    <n v="8.9688376407337442E-3"/>
    <n v="0.95"/>
    <n v="1.1136282804233873E-2"/>
    <n v="0.188599051615854"/>
    <n v="0.21133450489667199"/>
    <n v="0"/>
    <n v="4.1060321805034601"/>
    <n v="5989.6"/>
    <n v="1.1136282804233873E-2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4-28 16:09:57"/>
    <n v="1"/>
    <x v="0"/>
    <x v="0"/>
    <x v="0"/>
    <n v="5995"/>
    <n v="0"/>
    <s v="Unnamed ProjectPart.NumberInNumber InEntity"/>
    <n v="5"/>
    <n v="5989.8"/>
    <n v="14.889593681494469"/>
    <n v="0.95"/>
    <n v="18.487872422193924"/>
    <n v="5974"/>
    <n v="6012"/>
  </r>
  <r>
    <x v="0"/>
    <s v="2025-04-28 16:09:57"/>
    <n v="1"/>
    <x v="1"/>
    <x v="1"/>
    <x v="0"/>
    <n v="5994"/>
    <n v="0"/>
    <s v="Unnamed ProjectPart.NumberOutNumber OutEntity"/>
    <n v="5"/>
    <n v="5989"/>
    <n v="14.247806848775006"/>
    <n v="0.95"/>
    <n v="17.690988817484943"/>
    <n v="5974"/>
    <n v="6010"/>
  </r>
  <r>
    <x v="0"/>
    <s v="2025-04-28 16:09:57"/>
    <n v="1"/>
    <x v="2"/>
    <x v="2"/>
    <x v="1"/>
    <n v="5995"/>
    <n v="0"/>
    <s v="Unnamed ProjectResource 1.NumberSeizedTotal Number SeizedResource"/>
    <n v="5"/>
    <n v="5989.6"/>
    <n v="14.518953130305229"/>
    <n v="0.95"/>
    <n v="18.027661393507845"/>
    <n v="5974"/>
    <n v="6011"/>
  </r>
  <r>
    <x v="0"/>
    <s v="2025-04-28 16:09:57"/>
    <n v="1"/>
    <x v="3"/>
    <x v="3"/>
    <x v="1"/>
    <n v="0.70203381857888003"/>
    <n v="0"/>
    <s v="Unnamed ProjectResource 1.ScheduledUtilizationScheduled UtilizationResource"/>
    <n v="5"/>
    <n v="0.70058615567283034"/>
    <n v="2.0545725290783091E-3"/>
    <n v="0.95"/>
    <n v="2.5510887410549921E-3"/>
    <n v="0.69765401469752297"/>
    <n v="0.70280900871666097"/>
  </r>
  <r>
    <x v="0"/>
    <s v="2025-04-28 16:09:57"/>
    <n v="1"/>
    <x v="4"/>
    <x v="1"/>
    <x v="2"/>
    <n v="5994"/>
    <n v="0"/>
    <s v="Unnamed ProjectSystem.NumberOutNumber OutSystem"/>
    <n v="5"/>
    <n v="5989"/>
    <n v="14.247806848775006"/>
    <n v="0.95"/>
    <n v="17.690988817484943"/>
    <n v="5974"/>
    <n v="6010"/>
  </r>
  <r>
    <x v="0"/>
    <s v="2025-04-28 16:09:57"/>
    <n v="2"/>
    <x v="0"/>
    <x v="0"/>
    <x v="0"/>
    <n v="5979"/>
    <n v="0"/>
    <s v="Unnamed ProjectPart.NumberInNumber InEntity"/>
    <n v="5"/>
    <n v="5989.8"/>
    <n v="14.889593681494469"/>
    <n v="0.95"/>
    <n v="18.487872422193924"/>
    <n v="5974"/>
    <n v="6012"/>
  </r>
  <r>
    <x v="0"/>
    <s v="2025-04-28 16:09:57"/>
    <n v="2"/>
    <x v="1"/>
    <x v="1"/>
    <x v="0"/>
    <n v="5978"/>
    <n v="0"/>
    <s v="Unnamed ProjectPart.NumberOutNumber OutEntity"/>
    <n v="5"/>
    <n v="5989"/>
    <n v="14.247806848775006"/>
    <n v="0.95"/>
    <n v="17.690988817484943"/>
    <n v="5974"/>
    <n v="6010"/>
  </r>
  <r>
    <x v="0"/>
    <s v="2025-04-28 16:09:57"/>
    <n v="2"/>
    <x v="2"/>
    <x v="2"/>
    <x v="1"/>
    <n v="5979"/>
    <n v="0"/>
    <s v="Unnamed ProjectResource 1.NumberSeizedTotal Number SeizedResource"/>
    <n v="5"/>
    <n v="5989.6"/>
    <n v="14.518953130305229"/>
    <n v="0.95"/>
    <n v="18.027661393507845"/>
    <n v="5974"/>
    <n v="6011"/>
  </r>
  <r>
    <x v="0"/>
    <s v="2025-04-28 16:09:57"/>
    <n v="2"/>
    <x v="3"/>
    <x v="3"/>
    <x v="1"/>
    <n v="0.70091633220532901"/>
    <n v="0"/>
    <s v="Unnamed ProjectResource 1.ScheduledUtilizationScheduled UtilizationResource"/>
    <n v="5"/>
    <n v="0.70058615567283034"/>
    <n v="2.0545725290783091E-3"/>
    <n v="0.95"/>
    <n v="2.5510887410549921E-3"/>
    <n v="0.69765401469752297"/>
    <n v="0.70280900871666097"/>
  </r>
  <r>
    <x v="0"/>
    <s v="2025-04-28 16:09:57"/>
    <n v="2"/>
    <x v="4"/>
    <x v="1"/>
    <x v="2"/>
    <n v="5978"/>
    <n v="0"/>
    <s v="Unnamed ProjectSystem.NumberOutNumber OutSystem"/>
    <n v="5"/>
    <n v="5989"/>
    <n v="14.247806848775006"/>
    <n v="0.95"/>
    <n v="17.690988817484943"/>
    <n v="5974"/>
    <n v="6010"/>
  </r>
  <r>
    <x v="0"/>
    <s v="2025-04-28 16:09:57"/>
    <n v="3"/>
    <x v="0"/>
    <x v="0"/>
    <x v="0"/>
    <n v="6012"/>
    <n v="0"/>
    <s v="Unnamed ProjectPart.NumberInNumber InEntity"/>
    <n v="5"/>
    <n v="5989.8"/>
    <n v="14.889593681494469"/>
    <n v="0.95"/>
    <n v="18.487872422193924"/>
    <n v="5974"/>
    <n v="6012"/>
  </r>
  <r>
    <x v="0"/>
    <s v="2025-04-28 16:09:57"/>
    <n v="3"/>
    <x v="1"/>
    <x v="1"/>
    <x v="0"/>
    <n v="6010"/>
    <n v="0"/>
    <s v="Unnamed ProjectPart.NumberOutNumber OutEntity"/>
    <n v="5"/>
    <n v="5989"/>
    <n v="14.247806848775006"/>
    <n v="0.95"/>
    <n v="17.690988817484943"/>
    <n v="5974"/>
    <n v="6010"/>
  </r>
  <r>
    <x v="0"/>
    <s v="2025-04-28 16:09:57"/>
    <n v="3"/>
    <x v="2"/>
    <x v="2"/>
    <x v="1"/>
    <n v="6011"/>
    <n v="0"/>
    <s v="Unnamed ProjectResource 1.NumberSeizedTotal Number SeizedResource"/>
    <n v="5"/>
    <n v="5989.6"/>
    <n v="14.518953130305229"/>
    <n v="0.95"/>
    <n v="18.027661393507845"/>
    <n v="5974"/>
    <n v="6011"/>
  </r>
  <r>
    <x v="0"/>
    <s v="2025-04-28 16:09:57"/>
    <n v="3"/>
    <x v="3"/>
    <x v="3"/>
    <x v="1"/>
    <n v="0.69951760416575903"/>
    <n v="0"/>
    <s v="Unnamed ProjectResource 1.ScheduledUtilizationScheduled UtilizationResource"/>
    <n v="5"/>
    <n v="0.70058615567283034"/>
    <n v="2.0545725290783091E-3"/>
    <n v="0.95"/>
    <n v="2.5510887410549921E-3"/>
    <n v="0.69765401469752297"/>
    <n v="0.70280900871666097"/>
  </r>
  <r>
    <x v="0"/>
    <s v="2025-04-28 16:09:57"/>
    <n v="3"/>
    <x v="4"/>
    <x v="1"/>
    <x v="2"/>
    <n v="6010"/>
    <n v="0"/>
    <s v="Unnamed ProjectSystem.NumberOutNumber OutSystem"/>
    <n v="5"/>
    <n v="5989"/>
    <n v="14.247806848775006"/>
    <n v="0.95"/>
    <n v="17.690988817484943"/>
    <n v="5974"/>
    <n v="6010"/>
  </r>
  <r>
    <x v="0"/>
    <s v="2025-04-28 16:09:57"/>
    <n v="4"/>
    <x v="0"/>
    <x v="0"/>
    <x v="0"/>
    <n v="5974"/>
    <n v="0"/>
    <s v="Unnamed ProjectPart.NumberInNumber InEntity"/>
    <n v="5"/>
    <n v="5989.8"/>
    <n v="14.889593681494469"/>
    <n v="0.95"/>
    <n v="18.487872422193924"/>
    <n v="5974"/>
    <n v="6012"/>
  </r>
  <r>
    <x v="0"/>
    <s v="2025-04-28 16:09:57"/>
    <n v="4"/>
    <x v="1"/>
    <x v="1"/>
    <x v="0"/>
    <n v="5974"/>
    <n v="0"/>
    <s v="Unnamed ProjectPart.NumberOutNumber OutEntity"/>
    <n v="5"/>
    <n v="5989"/>
    <n v="14.247806848775006"/>
    <n v="0.95"/>
    <n v="17.690988817484943"/>
    <n v="5974"/>
    <n v="6010"/>
  </r>
  <r>
    <x v="0"/>
    <s v="2025-04-28 16:09:57"/>
    <n v="4"/>
    <x v="2"/>
    <x v="2"/>
    <x v="1"/>
    <n v="5974"/>
    <n v="0"/>
    <s v="Unnamed ProjectResource 1.NumberSeizedTotal Number SeizedResource"/>
    <n v="5"/>
    <n v="5989.6"/>
    <n v="14.518953130305229"/>
    <n v="0.95"/>
    <n v="18.027661393507845"/>
    <n v="5974"/>
    <n v="6011"/>
  </r>
  <r>
    <x v="0"/>
    <s v="2025-04-28 16:09:57"/>
    <n v="4"/>
    <x v="3"/>
    <x v="3"/>
    <x v="1"/>
    <n v="0.70280900871666097"/>
    <n v="0"/>
    <s v="Unnamed ProjectResource 1.ScheduledUtilizationScheduled UtilizationResource"/>
    <n v="5"/>
    <n v="0.70058615567283034"/>
    <n v="2.0545725290783091E-3"/>
    <n v="0.95"/>
    <n v="2.5510887410549921E-3"/>
    <n v="0.69765401469752297"/>
    <n v="0.70280900871666097"/>
  </r>
  <r>
    <x v="0"/>
    <s v="2025-04-28 16:09:57"/>
    <n v="4"/>
    <x v="4"/>
    <x v="1"/>
    <x v="2"/>
    <n v="5974"/>
    <n v="0"/>
    <s v="Unnamed ProjectSystem.NumberOutNumber OutSystem"/>
    <n v="5"/>
    <n v="5989"/>
    <n v="14.247806848775006"/>
    <n v="0.95"/>
    <n v="17.690988817484943"/>
    <n v="5974"/>
    <n v="6010"/>
  </r>
  <r>
    <x v="0"/>
    <s v="2025-04-28 16:09:57"/>
    <n v="5"/>
    <x v="0"/>
    <x v="0"/>
    <x v="0"/>
    <n v="5989"/>
    <n v="0"/>
    <s v="Unnamed ProjectPart.NumberInNumber InEntity"/>
    <n v="5"/>
    <n v="5989.8"/>
    <n v="14.889593681494469"/>
    <n v="0.95"/>
    <n v="18.487872422193924"/>
    <n v="5974"/>
    <n v="6012"/>
  </r>
  <r>
    <x v="0"/>
    <s v="2025-04-28 16:09:57"/>
    <n v="5"/>
    <x v="1"/>
    <x v="1"/>
    <x v="0"/>
    <n v="5989"/>
    <n v="0"/>
    <s v="Unnamed ProjectPart.NumberOutNumber OutEntity"/>
    <n v="5"/>
    <n v="5989"/>
    <n v="14.247806848775006"/>
    <n v="0.95"/>
    <n v="17.690988817484943"/>
    <n v="5974"/>
    <n v="6010"/>
  </r>
  <r>
    <x v="0"/>
    <s v="2025-04-28 16:09:57"/>
    <n v="5"/>
    <x v="2"/>
    <x v="2"/>
    <x v="1"/>
    <n v="5989"/>
    <n v="0"/>
    <s v="Unnamed ProjectResource 1.NumberSeizedTotal Number SeizedResource"/>
    <n v="5"/>
    <n v="5989.6"/>
    <n v="14.518953130305229"/>
    <n v="0.95"/>
    <n v="18.027661393507845"/>
    <n v="5974"/>
    <n v="6011"/>
  </r>
  <r>
    <x v="0"/>
    <s v="2025-04-28 16:09:57"/>
    <n v="5"/>
    <x v="3"/>
    <x v="3"/>
    <x v="1"/>
    <n v="0.69765401469752297"/>
    <n v="0"/>
    <s v="Unnamed ProjectResource 1.ScheduledUtilizationScheduled UtilizationResource"/>
    <n v="5"/>
    <n v="0.70058615567283034"/>
    <n v="2.0545725290783091E-3"/>
    <n v="0.95"/>
    <n v="2.5510887410549921E-3"/>
    <n v="0.69765401469752297"/>
    <n v="0.70280900871666097"/>
  </r>
  <r>
    <x v="0"/>
    <s v="2025-04-28 16:09:57"/>
    <n v="5"/>
    <x v="4"/>
    <x v="1"/>
    <x v="2"/>
    <n v="5989"/>
    <n v="0"/>
    <s v="Unnamed ProjectSystem.NumberOutNumber OutSystem"/>
    <n v="5"/>
    <n v="5989"/>
    <n v="14.247806848775006"/>
    <n v="0.95"/>
    <n v="17.690988817484943"/>
    <n v="5974"/>
    <n v="601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4-28 16:09:57"/>
    <n v="1"/>
    <x v="0"/>
    <x v="0"/>
    <x v="0"/>
    <n v="0.84280608045172001"/>
    <n v="2.1341892532809902E-2"/>
    <n v="0"/>
    <n v="4"/>
    <n v="1"/>
    <n v="0"/>
    <s v="Unnamed ProjectPartWIPEntity"/>
    <n v="5"/>
    <n v="0.83433614854695171"/>
    <n v="6.2264402382012024E-3"/>
    <n v="0.95"/>
    <n v="7.7311466807417012E-3"/>
    <n v="0.82551100712760905"/>
    <n v="0.84280608045172001"/>
    <n v="7.7311466807417012E-3"/>
  </r>
  <r>
    <x v="0"/>
    <s v="2025-04-28 16:09:57"/>
    <n v="1"/>
    <x v="1"/>
    <x v="1"/>
    <x v="1"/>
    <n v="0.14077226187283901"/>
    <n v="1.55412705627606E-2"/>
    <n v="0"/>
    <n v="3"/>
    <n v="0"/>
    <n v="0"/>
    <s v="Unnamed ProjectProcess 3.QueueNumber WaitingQueue"/>
    <n v="5"/>
    <n v="0.13374999287411979"/>
    <n v="5.8860266644613574E-3"/>
    <n v="0.95"/>
    <n v="7.3084674017290536E-3"/>
    <n v="0.125993402961846"/>
    <n v="0.14077226187283901"/>
    <n v="7.3084674017290536E-3"/>
  </r>
  <r>
    <x v="0"/>
    <s v="2025-04-28 16:09:57"/>
    <n v="1"/>
    <x v="2"/>
    <x v="2"/>
    <x v="2"/>
    <n v="0.70203381857888003"/>
    <n v="7.8930284179629297E-3"/>
    <n v="0"/>
    <n v="1"/>
    <n v="1"/>
    <n v="0"/>
    <s v="Unnamed ProjectResource 1Instantaneous UtilizationResource"/>
    <n v="5"/>
    <n v="0.70058615567283034"/>
    <n v="2.0545725290783091E-3"/>
    <n v="0.95"/>
    <n v="2.5510887410549921E-3"/>
    <n v="0.69765401469752297"/>
    <n v="0.70280900871666097"/>
    <n v="2.5510887410549921E-3"/>
  </r>
  <r>
    <x v="0"/>
    <s v="2025-04-28 16:09:57"/>
    <n v="1"/>
    <x v="2"/>
    <x v="3"/>
    <x v="2"/>
    <n v="0.70203381857888003"/>
    <n v="7.8930284179629297E-3"/>
    <n v="0"/>
    <n v="1"/>
    <n v="1"/>
    <n v="0"/>
    <s v="Unnamed ProjectResource 1Number BusyResource"/>
    <n v="5"/>
    <n v="0.70058615567283034"/>
    <n v="2.0545725290783091E-3"/>
    <n v="0.95"/>
    <n v="2.5510887410549921E-3"/>
    <n v="0.69765401469752297"/>
    <n v="0.70280900871666097"/>
    <n v="2.5510887410549921E-3"/>
  </r>
  <r>
    <x v="0"/>
    <s v="2025-04-28 16:09:57"/>
    <n v="1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09:57"/>
    <n v="2"/>
    <x v="0"/>
    <x v="0"/>
    <x v="0"/>
    <n v="0.83275642561601104"/>
    <n v="2.2941175821632801E-2"/>
    <n v="0"/>
    <n v="5"/>
    <n v="1"/>
    <n v="0"/>
    <s v="Unnamed ProjectPartWIPEntity"/>
    <n v="5"/>
    <n v="0.83433614854695171"/>
    <n v="6.2264402382012024E-3"/>
    <n v="0.95"/>
    <n v="7.7311466807417012E-3"/>
    <n v="0.82551100712760905"/>
    <n v="0.84280608045172001"/>
    <n v="7.7311466807417012E-3"/>
  </r>
  <r>
    <x v="0"/>
    <s v="2025-04-28 16:09:57"/>
    <n v="2"/>
    <x v="1"/>
    <x v="1"/>
    <x v="1"/>
    <n v="0.13184009341068401"/>
    <n v="3E+20"/>
    <n v="0"/>
    <n v="4"/>
    <n v="0"/>
    <n v="0"/>
    <s v="Unnamed ProjectProcess 3.QueueNumber WaitingQueue"/>
    <n v="5"/>
    <n v="0.13374999287411979"/>
    <n v="5.8860266644613574E-3"/>
    <n v="0.95"/>
    <n v="7.3084674017290536E-3"/>
    <n v="0.125993402961846"/>
    <n v="0.14077226187283901"/>
    <n v="7.3084674017290536E-3"/>
  </r>
  <r>
    <x v="0"/>
    <s v="2025-04-28 16:09:57"/>
    <n v="2"/>
    <x v="2"/>
    <x v="2"/>
    <x v="2"/>
    <n v="0.70091633220532901"/>
    <n v="8.0874308817644701E-3"/>
    <n v="0"/>
    <n v="1"/>
    <n v="1"/>
    <n v="0"/>
    <s v="Unnamed ProjectResource 1Instantaneous UtilizationResource"/>
    <n v="5"/>
    <n v="0.70058615567283034"/>
    <n v="2.0545725290783091E-3"/>
    <n v="0.95"/>
    <n v="2.5510887410549921E-3"/>
    <n v="0.69765401469752297"/>
    <n v="0.70280900871666097"/>
    <n v="2.5510887410549921E-3"/>
  </r>
  <r>
    <x v="0"/>
    <s v="2025-04-28 16:09:57"/>
    <n v="2"/>
    <x v="2"/>
    <x v="3"/>
    <x v="2"/>
    <n v="0.70091633220532901"/>
    <n v="8.0874308817644701E-3"/>
    <n v="0"/>
    <n v="1"/>
    <n v="1"/>
    <n v="0"/>
    <s v="Unnamed ProjectResource 1Number BusyResource"/>
    <n v="5"/>
    <n v="0.70058615567283034"/>
    <n v="2.0545725290783091E-3"/>
    <n v="0.95"/>
    <n v="2.5510887410549921E-3"/>
    <n v="0.69765401469752297"/>
    <n v="0.70280900871666097"/>
    <n v="2.5510887410549921E-3"/>
  </r>
  <r>
    <x v="0"/>
    <s v="2025-04-28 16:09:57"/>
    <n v="2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09:57"/>
    <n v="3"/>
    <x v="0"/>
    <x v="0"/>
    <x v="0"/>
    <n v="0.82551100712760905"/>
    <n v="1.7603911936285299E-2"/>
    <n v="0"/>
    <n v="4"/>
    <n v="2"/>
    <n v="0"/>
    <s v="Unnamed ProjectPartWIPEntity"/>
    <n v="5"/>
    <n v="0.83433614854695171"/>
    <n v="6.2264402382012024E-3"/>
    <n v="0.95"/>
    <n v="7.7311466807417012E-3"/>
    <n v="0.82551100712760905"/>
    <n v="0.84280608045172001"/>
    <n v="7.7311466807417012E-3"/>
  </r>
  <r>
    <x v="0"/>
    <s v="2025-04-28 16:09:57"/>
    <n v="3"/>
    <x v="1"/>
    <x v="1"/>
    <x v="1"/>
    <n v="0.125993402961846"/>
    <n v="1.22776765900814E-2"/>
    <n v="0"/>
    <n v="3"/>
    <n v="1"/>
    <n v="0"/>
    <s v="Unnamed ProjectProcess 3.QueueNumber WaitingQueue"/>
    <n v="5"/>
    <n v="0.13374999287411979"/>
    <n v="5.8860266644613574E-3"/>
    <n v="0.95"/>
    <n v="7.3084674017290536E-3"/>
    <n v="0.125993402961846"/>
    <n v="0.14077226187283901"/>
    <n v="7.3084674017290536E-3"/>
  </r>
  <r>
    <x v="0"/>
    <s v="2025-04-28 16:09:57"/>
    <n v="3"/>
    <x v="2"/>
    <x v="2"/>
    <x v="2"/>
    <n v="0.69951760416575903"/>
    <n v="7.1025676939685803E-3"/>
    <n v="0"/>
    <n v="1"/>
    <n v="1"/>
    <n v="0"/>
    <s v="Unnamed ProjectResource 1Instantaneous UtilizationResource"/>
    <n v="5"/>
    <n v="0.70058615567283034"/>
    <n v="2.0545725290783091E-3"/>
    <n v="0.95"/>
    <n v="2.5510887410549921E-3"/>
    <n v="0.69765401469752297"/>
    <n v="0.70280900871666097"/>
    <n v="2.5510887410549921E-3"/>
  </r>
  <r>
    <x v="0"/>
    <s v="2025-04-28 16:09:57"/>
    <n v="3"/>
    <x v="2"/>
    <x v="3"/>
    <x v="2"/>
    <n v="0.69951760416575903"/>
    <n v="7.1025676939685803E-3"/>
    <n v="0"/>
    <n v="1"/>
    <n v="1"/>
    <n v="0"/>
    <s v="Unnamed ProjectResource 1Number BusyResource"/>
    <n v="5"/>
    <n v="0.70058615567283034"/>
    <n v="2.0545725290783091E-3"/>
    <n v="0.95"/>
    <n v="2.5510887410549921E-3"/>
    <n v="0.69765401469752297"/>
    <n v="0.70280900871666097"/>
    <n v="2.5510887410549921E-3"/>
  </r>
  <r>
    <x v="0"/>
    <s v="2025-04-28 16:09:57"/>
    <n v="3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09:57"/>
    <n v="4"/>
    <x v="0"/>
    <x v="0"/>
    <x v="0"/>
    <n v="0.83456745639888696"/>
    <n v="2.24476470669406E-2"/>
    <n v="0"/>
    <n v="5"/>
    <n v="1"/>
    <n v="0"/>
    <s v="Unnamed ProjectPartWIPEntity"/>
    <n v="5"/>
    <n v="0.83433614854695171"/>
    <n v="6.2264402382012024E-3"/>
    <n v="0.95"/>
    <n v="7.7311466807417012E-3"/>
    <n v="0.82551100712760905"/>
    <n v="0.84280608045172001"/>
    <n v="7.7311466807417012E-3"/>
  </r>
  <r>
    <x v="0"/>
    <s v="2025-04-28 16:09:57"/>
    <n v="4"/>
    <x v="1"/>
    <x v="1"/>
    <x v="1"/>
    <n v="0.131758447682226"/>
    <n v="1.45909780765601E-2"/>
    <n v="0"/>
    <n v="4"/>
    <n v="0"/>
    <n v="0"/>
    <s v="Unnamed ProjectProcess 3.QueueNumber WaitingQueue"/>
    <n v="5"/>
    <n v="0.13374999287411979"/>
    <n v="5.8860266644613574E-3"/>
    <n v="0.95"/>
    <n v="7.3084674017290536E-3"/>
    <n v="0.125993402961846"/>
    <n v="0.14077226187283901"/>
    <n v="7.3084674017290536E-3"/>
  </r>
  <r>
    <x v="0"/>
    <s v="2025-04-28 16:09:57"/>
    <n v="4"/>
    <x v="2"/>
    <x v="2"/>
    <x v="2"/>
    <n v="0.70280900871666097"/>
    <n v="9.1150125992192407E-3"/>
    <n v="0"/>
    <n v="1"/>
    <n v="1"/>
    <n v="0"/>
    <s v="Unnamed ProjectResource 1Instantaneous UtilizationResource"/>
    <n v="5"/>
    <n v="0.70058615567283034"/>
    <n v="2.0545725290783091E-3"/>
    <n v="0.95"/>
    <n v="2.5510887410549921E-3"/>
    <n v="0.69765401469752297"/>
    <n v="0.70280900871666097"/>
    <n v="2.5510887410549921E-3"/>
  </r>
  <r>
    <x v="0"/>
    <s v="2025-04-28 16:09:57"/>
    <n v="4"/>
    <x v="2"/>
    <x v="3"/>
    <x v="2"/>
    <n v="0.70280900871666097"/>
    <n v="9.1150125992192407E-3"/>
    <n v="0"/>
    <n v="1"/>
    <n v="1"/>
    <n v="0"/>
    <s v="Unnamed ProjectResource 1Number BusyResource"/>
    <n v="5"/>
    <n v="0.70058615567283034"/>
    <n v="2.0545725290783091E-3"/>
    <n v="0.95"/>
    <n v="2.5510887410549921E-3"/>
    <n v="0.69765401469752297"/>
    <n v="0.70280900871666097"/>
    <n v="2.5510887410549921E-3"/>
  </r>
  <r>
    <x v="0"/>
    <s v="2025-04-28 16:09:57"/>
    <n v="4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09:57"/>
    <n v="5"/>
    <x v="0"/>
    <x v="0"/>
    <x v="0"/>
    <n v="0.83603977314053102"/>
    <n v="2.8399135777503699E-2"/>
    <n v="0"/>
    <n v="4"/>
    <n v="0"/>
    <n v="0"/>
    <s v="Unnamed ProjectPartWIPEntity"/>
    <n v="5"/>
    <n v="0.83433614854695171"/>
    <n v="6.2264402382012024E-3"/>
    <n v="0.95"/>
    <n v="7.7311466807417012E-3"/>
    <n v="0.82551100712760905"/>
    <n v="0.84280608045172001"/>
    <n v="7.7311466807417012E-3"/>
  </r>
  <r>
    <x v="0"/>
    <s v="2025-04-28 16:09:57"/>
    <n v="5"/>
    <x v="1"/>
    <x v="1"/>
    <x v="1"/>
    <n v="0.13838575844300399"/>
    <n v="1.8742994319769401E-2"/>
    <n v="0"/>
    <n v="3"/>
    <n v="0"/>
    <n v="0"/>
    <s v="Unnamed ProjectProcess 3.QueueNumber WaitingQueue"/>
    <n v="5"/>
    <n v="0.13374999287411979"/>
    <n v="5.8860266644613574E-3"/>
    <n v="0.95"/>
    <n v="7.3084674017290536E-3"/>
    <n v="0.125993402961846"/>
    <n v="0.14077226187283901"/>
    <n v="7.3084674017290536E-3"/>
  </r>
  <r>
    <x v="0"/>
    <s v="2025-04-28 16:09:57"/>
    <n v="5"/>
    <x v="2"/>
    <x v="2"/>
    <x v="2"/>
    <n v="0.69765401469752297"/>
    <n v="1.11844699560675E-2"/>
    <n v="0"/>
    <n v="1"/>
    <n v="0"/>
    <n v="0"/>
    <s v="Unnamed ProjectResource 1Instantaneous UtilizationResource"/>
    <n v="5"/>
    <n v="0.70058615567283034"/>
    <n v="2.0545725290783091E-3"/>
    <n v="0.95"/>
    <n v="2.5510887410549921E-3"/>
    <n v="0.69765401469752297"/>
    <n v="0.70280900871666097"/>
    <n v="2.5510887410549921E-3"/>
  </r>
  <r>
    <x v="0"/>
    <s v="2025-04-28 16:09:57"/>
    <n v="5"/>
    <x v="2"/>
    <x v="3"/>
    <x v="2"/>
    <n v="0.69765401469752297"/>
    <n v="1.11844699560675E-2"/>
    <n v="0"/>
    <n v="1"/>
    <n v="0"/>
    <n v="0"/>
    <s v="Unnamed ProjectResource 1Number BusyResource"/>
    <n v="5"/>
    <n v="0.70058615567283034"/>
    <n v="2.0545725290783091E-3"/>
    <n v="0.95"/>
    <n v="2.5510887410549921E-3"/>
    <n v="0.69765401469752297"/>
    <n v="0.70280900871666097"/>
    <n v="2.5510887410549921E-3"/>
  </r>
  <r>
    <x v="0"/>
    <s v="2025-04-28 16:09:57"/>
    <n v="5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9"/>
        <item m="1" x="6"/>
        <item m="1" x="30"/>
        <item m="1" x="7"/>
        <item m="1" x="31"/>
        <item m="1" x="8"/>
        <item m="1" x="32"/>
        <item m="1" x="9"/>
        <item m="1" x="63"/>
        <item m="1" x="20"/>
        <item x="4"/>
        <item m="1" x="62"/>
        <item m="1" x="49"/>
        <item m="1" x="66"/>
        <item m="1" x="51"/>
        <item m="1" x="67"/>
        <item m="1" x="74"/>
        <item m="1" x="44"/>
        <item m="1" x="13"/>
        <item m="1" x="60"/>
        <item m="1" x="50"/>
        <item m="1" x="48"/>
        <item m="1" x="16"/>
        <item m="1" x="58"/>
        <item m="1" x="24"/>
        <item m="1" x="59"/>
        <item m="1" x="25"/>
        <item m="1" x="57"/>
        <item m="1" x="77"/>
        <item m="1" x="19"/>
        <item m="1" x="80"/>
        <item m="1" x="46"/>
        <item m="1" x="14"/>
        <item m="1" x="75"/>
        <item m="1" x="70"/>
        <item m="1" x="47"/>
        <item m="1" x="15"/>
        <item m="1" x="76"/>
        <item m="1" x="71"/>
        <item m="1" x="10"/>
        <item m="1" x="43"/>
        <item m="1" x="27"/>
        <item m="1" x="18"/>
        <item m="1" x="68"/>
        <item m="1" x="39"/>
        <item m="1" x="69"/>
        <item m="1" x="40"/>
        <item m="1" x="26"/>
        <item m="1" x="22"/>
        <item x="2"/>
        <item x="3"/>
        <item m="1" x="79"/>
        <item m="1" x="72"/>
        <item m="1" x="23"/>
        <item m="1" x="21"/>
        <item m="1" x="64"/>
        <item m="1" x="73"/>
        <item m="1" x="11"/>
        <item m="1" x="28"/>
        <item m="1" x="41"/>
        <item m="1" x="61"/>
        <item m="1" x="78"/>
        <item m="1" x="12"/>
        <item m="1" x="38"/>
        <item m="1" x="42"/>
        <item m="1" x="65"/>
        <item m="1" x="45"/>
        <item m="1" x="17"/>
        <item m="1" x="33"/>
        <item m="1" x="52"/>
        <item m="1" x="34"/>
        <item m="1" x="53"/>
        <item m="1" x="35"/>
        <item m="1" x="54"/>
        <item m="1" x="36"/>
        <item m="1" x="55"/>
        <item m="1" x="37"/>
        <item m="1" x="56"/>
        <item m="1" x="5"/>
        <item x="0"/>
        <item x="1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49"/>
      <x v="3"/>
      <x v="1"/>
    </i>
    <i r="1">
      <x v="50"/>
      <x v="2"/>
      <x v="1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x="2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93"/>
      <x/>
      <x v="2"/>
    </i>
    <i r="2">
      <x v="1"/>
      <x v="2"/>
    </i>
    <i r="2">
      <x v="2"/>
      <x v="2"/>
    </i>
    <i r="1">
      <x v="124"/>
      <x v="4"/>
      <x/>
    </i>
    <i r="1">
      <x v="125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6" tableType="queryTable" totalsRowShown="0">
  <autoFilter ref="A1:Y36" xr:uid="{C3D003CA-1AFF-426C-A03D-D3AF5760DF1A}"/>
  <sortState xmlns:xlrd2="http://schemas.microsoft.com/office/spreadsheetml/2017/richdata2" ref="A2:Y36">
    <sortCondition ref="D1:D3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6" tableType="queryTable" totalsRowShown="0">
  <autoFilter ref="A1:U2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55.3320312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5</v>
      </c>
      <c r="F2">
        <v>9000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8.9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5989</v>
      </c>
      <c r="O3" t="s">
        <v>66</v>
      </c>
      <c r="P3" t="s">
        <v>83</v>
      </c>
      <c r="Q3" t="s">
        <v>84</v>
      </c>
      <c r="R3" t="s">
        <v>85</v>
      </c>
      <c r="S3" s="5">
        <v>0.70058615567283034</v>
      </c>
      <c r="T3" s="5">
        <v>2.5510887410549921E-3</v>
      </c>
      <c r="U3" s="5">
        <v>2.0545725290783091E-3</v>
      </c>
      <c r="V3" s="5">
        <v>0.69765401469752297</v>
      </c>
      <c r="W3" s="5">
        <v>0.70280900871666097</v>
      </c>
      <c r="X3" s="5">
        <v>0</v>
      </c>
      <c r="Y3" s="5">
        <v>1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91</v>
      </c>
      <c r="AN3" t="s">
        <v>97</v>
      </c>
      <c r="AO3" s="5">
        <v>5989</v>
      </c>
      <c r="AP3" s="5">
        <v>17.690988817484943</v>
      </c>
      <c r="AQ3" s="5">
        <v>14.247806848775006</v>
      </c>
      <c r="AR3" s="5">
        <v>5974</v>
      </c>
      <c r="AS3" s="5">
        <v>6010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5989</v>
      </c>
      <c r="Q4" t="s">
        <v>86</v>
      </c>
      <c r="R4" t="s">
        <v>85</v>
      </c>
      <c r="S4" s="5">
        <v>0.70058615567283034</v>
      </c>
      <c r="T4" s="5">
        <v>2.5510887410549921E-3</v>
      </c>
      <c r="U4" s="5">
        <v>2.0545725290783091E-3</v>
      </c>
      <c r="V4" s="5">
        <v>0.69765401469752297</v>
      </c>
      <c r="W4" s="5">
        <v>0.70280900871666097</v>
      </c>
      <c r="X4" s="5">
        <v>0</v>
      </c>
      <c r="Y4" s="5">
        <v>1</v>
      </c>
      <c r="AL4" t="s">
        <v>92</v>
      </c>
      <c r="AM4" t="s">
        <v>93</v>
      </c>
      <c r="AN4" t="s">
        <v>85</v>
      </c>
      <c r="AO4" s="5">
        <v>5989.6</v>
      </c>
      <c r="AP4" s="5">
        <v>18.027661393507845</v>
      </c>
      <c r="AQ4" s="5">
        <v>14.518953130305229</v>
      </c>
      <c r="AR4" s="5">
        <v>5974</v>
      </c>
      <c r="AS4" s="5">
        <v>6011</v>
      </c>
    </row>
    <row r="5" spans="1:52" x14ac:dyDescent="0.3">
      <c r="C5" t="s">
        <v>74</v>
      </c>
      <c r="D5" t="s">
        <v>72</v>
      </c>
      <c r="E5" s="5">
        <v>1.253711020380178</v>
      </c>
      <c r="F5" s="5">
        <v>1</v>
      </c>
      <c r="G5" s="5">
        <v>1.3478841316120848E-2</v>
      </c>
      <c r="H5" s="5">
        <v>1.0855466000157715E-2</v>
      </c>
      <c r="I5" s="5">
        <v>1.2359524311759</v>
      </c>
      <c r="J5" s="5">
        <v>1.26537456589806</v>
      </c>
      <c r="K5" s="5">
        <v>0.50002014274468798</v>
      </c>
      <c r="L5" s="5">
        <v>4.9504233378916096</v>
      </c>
      <c r="M5" s="5">
        <v>5989</v>
      </c>
      <c r="Q5" t="s">
        <v>87</v>
      </c>
      <c r="R5" t="s">
        <v>85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94</v>
      </c>
      <c r="AM5" t="s">
        <v>95</v>
      </c>
      <c r="AN5" t="s">
        <v>85</v>
      </c>
      <c r="AO5" s="5">
        <v>0.70058615567283034</v>
      </c>
      <c r="AP5" s="5">
        <v>2.5510887410549921E-3</v>
      </c>
      <c r="AQ5" s="5">
        <v>2.0545725290783091E-3</v>
      </c>
      <c r="AR5" s="5">
        <v>0.69765401469752297</v>
      </c>
      <c r="AS5" s="5">
        <v>0.70280900871666097</v>
      </c>
    </row>
    <row r="6" spans="1:52" x14ac:dyDescent="0.3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5989</v>
      </c>
      <c r="P6" t="s">
        <v>70</v>
      </c>
      <c r="Q6" t="s">
        <v>81</v>
      </c>
      <c r="R6" t="s">
        <v>72</v>
      </c>
      <c r="S6" s="5">
        <v>0.83433614854695171</v>
      </c>
      <c r="T6" s="5">
        <v>7.7311466807417012E-3</v>
      </c>
      <c r="U6" s="5">
        <v>6.2264402382012024E-3</v>
      </c>
      <c r="V6" s="5">
        <v>0.82551100712760905</v>
      </c>
      <c r="W6" s="5">
        <v>0.84280608045172001</v>
      </c>
      <c r="X6" s="5">
        <v>0</v>
      </c>
      <c r="Y6" s="5">
        <v>5</v>
      </c>
      <c r="AL6" t="s">
        <v>88</v>
      </c>
      <c r="AM6" t="s">
        <v>89</v>
      </c>
      <c r="AN6" t="s">
        <v>72</v>
      </c>
      <c r="AO6" s="5">
        <v>5989.8</v>
      </c>
      <c r="AP6" s="5">
        <v>18.487872422193924</v>
      </c>
      <c r="AQ6" s="5">
        <v>14.889593681494469</v>
      </c>
      <c r="AR6" s="5">
        <v>5974</v>
      </c>
      <c r="AS6" s="5">
        <v>6012</v>
      </c>
    </row>
    <row r="7" spans="1:52" x14ac:dyDescent="0.3">
      <c r="C7" t="s">
        <v>76</v>
      </c>
      <c r="D7" t="s">
        <v>72</v>
      </c>
      <c r="E7" s="5">
        <v>1.0527713940760601</v>
      </c>
      <c r="F7" s="5">
        <v>1</v>
      </c>
      <c r="G7" s="5">
        <v>5.9237327247921596E-3</v>
      </c>
      <c r="H7" s="5">
        <v>4.770801709127144E-3</v>
      </c>
      <c r="I7" s="5">
        <v>1.04747342063617</v>
      </c>
      <c r="J7" s="5">
        <v>1.05884883095601</v>
      </c>
      <c r="K7" s="5">
        <v>0.50002014274468798</v>
      </c>
      <c r="L7" s="5">
        <v>1.6059959295289401</v>
      </c>
      <c r="M7" s="5">
        <v>5989</v>
      </c>
      <c r="P7" t="s">
        <v>78</v>
      </c>
      <c r="Q7" t="s">
        <v>82</v>
      </c>
      <c r="R7" t="s">
        <v>80</v>
      </c>
      <c r="S7" s="5">
        <v>0.13374999287411979</v>
      </c>
      <c r="T7" s="5">
        <v>7.3084674017290536E-3</v>
      </c>
      <c r="U7" s="5">
        <v>5.8860266644613574E-3</v>
      </c>
      <c r="V7" s="5">
        <v>0.125993402961846</v>
      </c>
      <c r="W7" s="5">
        <v>0.14077226187283901</v>
      </c>
      <c r="X7" s="5">
        <v>0</v>
      </c>
      <c r="Y7" s="5">
        <v>4</v>
      </c>
      <c r="AL7" t="s">
        <v>90</v>
      </c>
      <c r="AM7" t="s">
        <v>91</v>
      </c>
      <c r="AN7" t="s">
        <v>72</v>
      </c>
      <c r="AO7" s="5">
        <v>5989</v>
      </c>
      <c r="AP7" s="5">
        <v>17.690988817484943</v>
      </c>
      <c r="AQ7" s="5">
        <v>14.247806848775006</v>
      </c>
      <c r="AR7" s="5">
        <v>5974</v>
      </c>
      <c r="AS7" s="5">
        <v>6010</v>
      </c>
    </row>
    <row r="8" spans="1:52" x14ac:dyDescent="0.3">
      <c r="C8" t="s">
        <v>77</v>
      </c>
      <c r="D8" t="s">
        <v>72</v>
      </c>
      <c r="E8" s="5">
        <v>0.20093962630411721</v>
      </c>
      <c r="F8" s="5">
        <v>1</v>
      </c>
      <c r="G8" s="5">
        <v>1.118234329035548E-2</v>
      </c>
      <c r="H8" s="5">
        <v>9.0059334139769402E-3</v>
      </c>
      <c r="I8" s="5">
        <v>0.18847901053973501</v>
      </c>
      <c r="J8" s="5">
        <v>0.21131694617762301</v>
      </c>
      <c r="K8" s="5">
        <v>0</v>
      </c>
      <c r="L8" s="5">
        <v>4.1060321805034601</v>
      </c>
      <c r="M8" s="5">
        <v>5989</v>
      </c>
    </row>
    <row r="9" spans="1:52" x14ac:dyDescent="0.3">
      <c r="B9" t="s">
        <v>78</v>
      </c>
      <c r="C9" t="s">
        <v>79</v>
      </c>
      <c r="D9" t="s">
        <v>80</v>
      </c>
      <c r="E9" s="5">
        <v>0.20096920288947179</v>
      </c>
      <c r="F9" s="5">
        <v>1</v>
      </c>
      <c r="G9" s="5">
        <v>1.1136282804233873E-2</v>
      </c>
      <c r="H9" s="5">
        <v>8.9688376407337442E-3</v>
      </c>
      <c r="I9" s="5">
        <v>0.188599051615854</v>
      </c>
      <c r="J9" s="5">
        <v>0.21133450489667199</v>
      </c>
      <c r="K9" s="5">
        <v>0</v>
      </c>
      <c r="L9" s="5">
        <v>4.1060321805034601</v>
      </c>
      <c r="M9" s="5">
        <v>5989.6</v>
      </c>
    </row>
  </sheetData>
  <dataConsolidate/>
  <phoneticPr fontId="3" type="noConversion"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4.58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46.082031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5994</v>
      </c>
      <c r="L2" t="str">
        <f>DiscreteStatsTable[[#This Row],[ProjectName]]&amp;DiscreteStatsTable[[#This Row],[Name]]&amp;DiscreteStatsTable[[#This Row],[Type]]&amp;DiscreteStatsTable[[#This Row],[Source]]</f>
        <v>Unnamed ProjectPartNVA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5989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5994</v>
      </c>
      <c r="L3" t="str">
        <f>DiscreteStatsTable[[#This Row],[ProjectName]]&amp;DiscreteStatsTable[[#This Row],[Name]]&amp;DiscreteStatsTable[[#This Row],[Type]]&amp;DiscreteStatsTable[[#This Row],[Source]]</f>
        <v>Unnamed ProjectPartOther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5989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1.26537456589806</v>
      </c>
      <c r="H4">
        <v>2.3515387083638799E-2</v>
      </c>
      <c r="I4">
        <v>0.50021087989352997</v>
      </c>
      <c r="J4">
        <v>4.8381694055406097</v>
      </c>
      <c r="K4">
        <v>5994</v>
      </c>
      <c r="L4" t="str">
        <f>DiscreteStatsTable[[#This Row],[ProjectName]]&amp;DiscreteStatsTable[[#This Row],[Name]]&amp;DiscreteStatsTable[[#This Row],[Type]]&amp;DiscreteStatsTable[[#This Row],[Source]]</f>
        <v>Unnamed ProjectPartTotal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1.253711020380178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1.0855466000157715E-2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1.3478841316120848E-2</v>
      </c>
      <c r="R4" cm="1">
        <f t="array" ref="R4">MIN(IF((DiscreteStatsTable[GroupByKey]=DiscreteStatsTable[[#This Row],[GroupByKey]]),(DiscreteStatsTable[GroupByKey]=DiscreteStatsTable[[#This Row],[GroupByKey]])*DiscreteStatsTable[Average]))</f>
        <v>1.2359524311759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1.26537456589806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0.50002014274468798</v>
      </c>
      <c r="U4" cm="1">
        <f t="array" ref="U4">MAX(IF((DiscreteStatsTable[GroupByKey]=DiscreteStatsTable[[#This Row],[GroupByKey]]),(DiscreteStatsTable[GroupByKey]=DiscreteStatsTable[[#This Row],[GroupByKey]])*DiscreteStatsTable[Maximum]))</f>
        <v>4.9504233378916096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5989</v>
      </c>
      <c r="W4">
        <f>IF((DiscreteStatsTable[[#This Row],[RepsRequested]]&gt;1),DiscreteStatsTable[[#This Row],[HalfWidth]],DiscreteStatsTable[[#This Row],[BatchMeansHalfWidth]])</f>
        <v>1.3478841316120848E-2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0</v>
      </c>
      <c r="I5">
        <v>0</v>
      </c>
      <c r="J5">
        <v>0</v>
      </c>
      <c r="K5">
        <v>5994</v>
      </c>
      <c r="L5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5989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1.0540576197204401</v>
      </c>
      <c r="H6">
        <v>3E+20</v>
      </c>
      <c r="I6">
        <v>0.50021087989352997</v>
      </c>
      <c r="J6">
        <v>1.60585924233055</v>
      </c>
      <c r="K6">
        <v>5994</v>
      </c>
      <c r="L6" t="str">
        <f>DiscreteStatsTable[[#This Row],[ProjectName]]&amp;DiscreteStatsTable[[#This Row],[Name]]&amp;DiscreteStatsTable[[#This Row],[Type]]&amp;DiscreteStatsTable[[#This Row],[Source]]</f>
        <v>Unnamed ProjectPartVA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1.0527713940760601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4.770801709127144E-3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5.9237327247921596E-3</v>
      </c>
      <c r="R6" cm="1">
        <f t="array" ref="R6">MIN(IF((DiscreteStatsTable[GroupByKey]=DiscreteStatsTable[[#This Row],[GroupByKey]]),(DiscreteStatsTable[GroupByKey]=DiscreteStatsTable[[#This Row],[GroupByKey]])*DiscreteStatsTable[Average]))</f>
        <v>1.04747342063617</v>
      </c>
      <c r="S6" cm="1">
        <f t="array" ref="S6">MAX(IF((DiscreteStatsTable[GroupByKey]=DiscreteStatsTable[[#This Row],[GroupByKey]]),(DiscreteStatsTable[GroupByKey]=DiscreteStatsTable[[#This Row],[GroupByKey]])*DiscreteStatsTable[Average]))</f>
        <v>1.05884883095601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0.50002014274468798</v>
      </c>
      <c r="U6" cm="1">
        <f t="array" ref="U6">MAX(IF((DiscreteStatsTable[GroupByKey]=DiscreteStatsTable[[#This Row],[GroupByKey]]),(DiscreteStatsTable[GroupByKey]=DiscreteStatsTable[[#This Row],[GroupByKey]])*DiscreteStatsTable[Maximum]))</f>
        <v>1.6059959295289401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5989</v>
      </c>
      <c r="W6">
        <f>IF((DiscreteStatsTable[[#This Row],[RepsRequested]]&gt;1),DiscreteStatsTable[[#This Row],[HalfWidth]],DiscreteStatsTable[[#This Row],[BatchMeansHalfWidth]])</f>
        <v>5.9237327247921596E-3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0.21131694617762301</v>
      </c>
      <c r="H7">
        <v>1.9820567793044901E-2</v>
      </c>
      <c r="I7">
        <v>0</v>
      </c>
      <c r="J7">
        <v>3.5376145392629001</v>
      </c>
      <c r="K7">
        <v>5994</v>
      </c>
      <c r="L7" t="str">
        <f>DiscreteStatsTable[[#This Row],[ProjectName]]&amp;DiscreteStatsTable[[#This Row],[Name]]&amp;DiscreteStatsTable[[#This Row],[Type]]&amp;DiscreteStatsTable[[#This Row],[Source]]</f>
        <v>Unnamed ProjectPartWait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0.20093962630411721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9.0059334139769402E-3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1.118234329035548E-2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0.18847901053973501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0.21131694617762301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4.1060321805034601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5989</v>
      </c>
      <c r="W7">
        <f>IF((DiscreteStatsTable[[#This Row],[RepsRequested]]&gt;1),DiscreteStatsTable[[#This Row],[HalfWidth]],DiscreteStatsTable[[#This Row],[BatchMeansHalfWidth]])</f>
        <v>1.118234329035548E-2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5978</v>
      </c>
      <c r="L8" t="str">
        <f>DiscreteStatsTable[[#This Row],[ProjectName]]&amp;DiscreteStatsTable[[#This Row],[Name]]&amp;DiscreteStatsTable[[#This Row],[Type]]&amp;DiscreteStatsTable[[#This Row],[Source]]</f>
        <v>Unnamed ProjectPartNVA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5989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0</v>
      </c>
      <c r="H9">
        <v>0</v>
      </c>
      <c r="I9">
        <v>0</v>
      </c>
      <c r="J9">
        <v>0</v>
      </c>
      <c r="K9">
        <v>5978</v>
      </c>
      <c r="L9" t="str">
        <f>DiscreteStatsTable[[#This Row],[ProjectName]]&amp;DiscreteStatsTable[[#This Row],[Name]]&amp;DiscreteStatsTable[[#This Row],[Type]]&amp;DiscreteStatsTable[[#This Row],[Source]]</f>
        <v>Unnamed ProjectPartOther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5989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1.2535619338714099</v>
      </c>
      <c r="H10">
        <v>2.7116573217798701E-2</v>
      </c>
      <c r="I10">
        <v>0.50004629887916996</v>
      </c>
      <c r="J10">
        <v>4.9125892044073698</v>
      </c>
      <c r="K10">
        <v>5978</v>
      </c>
      <c r="L10" t="str">
        <f>DiscreteStatsTable[[#This Row],[ProjectName]]&amp;DiscreteStatsTable[[#This Row],[Name]]&amp;DiscreteStatsTable[[#This Row],[Type]]&amp;DiscreteStatsTable[[#This Row],[Source]]</f>
        <v>Unnamed ProjectPartTotal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1.253711020380178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1.0855466000157715E-2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1.3478841316120848E-2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1.2359524311759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1.26537456589806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0.50002014274468798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4.9504233378916096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5989</v>
      </c>
      <c r="W10">
        <f>IF((DiscreteStatsTable[[#This Row],[RepsRequested]]&gt;1),DiscreteStatsTable[[#This Row],[HalfWidth]],DiscreteStatsTable[[#This Row],[BatchMeansHalfWidth]])</f>
        <v>1.3478841316120848E-2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5978</v>
      </c>
      <c r="L11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5989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1.05507400468169</v>
      </c>
      <c r="H12">
        <v>8.5977132982263706E-3</v>
      </c>
      <c r="I12">
        <v>0.50004629887916996</v>
      </c>
      <c r="J12">
        <v>1.6059111451590999</v>
      </c>
      <c r="K12">
        <v>5978</v>
      </c>
      <c r="L12" t="str">
        <f>DiscreteStatsTable[[#This Row],[ProjectName]]&amp;DiscreteStatsTable[[#This Row],[Name]]&amp;DiscreteStatsTable[[#This Row],[Type]]&amp;DiscreteStatsTable[[#This Row],[Source]]</f>
        <v>Unnamed ProjectPartVA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1.0527713940760601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4.770801709127144E-3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5.9237327247921596E-3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1.04747342063617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1.05884883095601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0.50002014274468798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1.6059959295289401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5989</v>
      </c>
      <c r="W12">
        <f>IF((DiscreteStatsTable[[#This Row],[RepsRequested]]&gt;1),DiscreteStatsTable[[#This Row],[HalfWidth]],DiscreteStatsTable[[#This Row],[BatchMeansHalfWidth]])</f>
        <v>5.9237327247921596E-3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0.198487929189722</v>
      </c>
      <c r="H13">
        <v>2.38191535453516E-2</v>
      </c>
      <c r="I13">
        <v>0</v>
      </c>
      <c r="J13">
        <v>4.1060321805034601</v>
      </c>
      <c r="K13">
        <v>5978</v>
      </c>
      <c r="L13" t="str">
        <f>DiscreteStatsTable[[#This Row],[ProjectName]]&amp;DiscreteStatsTable[[#This Row],[Name]]&amp;DiscreteStatsTable[[#This Row],[Type]]&amp;DiscreteStatsTable[[#This Row],[Source]]</f>
        <v>Unnamed ProjectPartWait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0.20093962630411721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9.0059334139769402E-3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1.118234329035548E-2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0.18847901053973501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0.21131694617762301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4.1060321805034601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5989</v>
      </c>
      <c r="W13">
        <f>IF((DiscreteStatsTable[[#This Row],[RepsRequested]]&gt;1),DiscreteStatsTable[[#This Row],[HalfWidth]],DiscreteStatsTable[[#This Row],[BatchMeansHalfWidth]])</f>
        <v>1.118234329035548E-2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0</v>
      </c>
      <c r="I14">
        <v>0</v>
      </c>
      <c r="J14">
        <v>0</v>
      </c>
      <c r="K14">
        <v>6010</v>
      </c>
      <c r="L14" t="str">
        <f>DiscreteStatsTable[[#This Row],[ProjectName]]&amp;DiscreteStatsTable[[#This Row],[Name]]&amp;DiscreteStatsTable[[#This Row],[Type]]&amp;DiscreteStatsTable[[#This Row],[Source]]</f>
        <v>Unnamed ProjectPartNVA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5989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0</v>
      </c>
      <c r="H15">
        <v>0</v>
      </c>
      <c r="I15">
        <v>0</v>
      </c>
      <c r="J15">
        <v>0</v>
      </c>
      <c r="K15">
        <v>6010</v>
      </c>
      <c r="L15" t="str">
        <f>DiscreteStatsTable[[#This Row],[ProjectName]]&amp;DiscreteStatsTable[[#This Row],[Name]]&amp;DiscreteStatsTable[[#This Row],[Type]]&amp;DiscreteStatsTable[[#This Row],[Source]]</f>
        <v>Unnamed ProjectPartOther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5989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1.2359524311759</v>
      </c>
      <c r="H16">
        <v>2.0555098306306599E-2</v>
      </c>
      <c r="I16">
        <v>0.50031439868189398</v>
      </c>
      <c r="J16">
        <v>4.0352989318889696</v>
      </c>
      <c r="K16">
        <v>6010</v>
      </c>
      <c r="L16" t="str">
        <f>DiscreteStatsTable[[#This Row],[ProjectName]]&amp;DiscreteStatsTable[[#This Row],[Name]]&amp;DiscreteStatsTable[[#This Row],[Type]]&amp;DiscreteStatsTable[[#This Row],[Source]]</f>
        <v>Unnamed ProjectPartTotal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1.253711020380178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1.0855466000157715E-2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1.3478841316120848E-2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1.2359524311759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1.26537456589806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0.50002014274468798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4.9504233378916096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5989</v>
      </c>
      <c r="W16">
        <f>IF((DiscreteStatsTable[[#This Row],[RepsRequested]]&gt;1),DiscreteStatsTable[[#This Row],[HalfWidth]],DiscreteStatsTable[[#This Row],[BatchMeansHalfWidth]])</f>
        <v>1.3478841316120848E-2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0</v>
      </c>
      <c r="I17">
        <v>0</v>
      </c>
      <c r="J17">
        <v>0</v>
      </c>
      <c r="K17">
        <v>6010</v>
      </c>
      <c r="L17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5989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1.04747342063617</v>
      </c>
      <c r="H18">
        <v>7.0279416462320603E-3</v>
      </c>
      <c r="I18">
        <v>0.50031439868189398</v>
      </c>
      <c r="J18">
        <v>1.6059959295289401</v>
      </c>
      <c r="K18">
        <v>6010</v>
      </c>
      <c r="L18" t="str">
        <f>DiscreteStatsTable[[#This Row],[ProjectName]]&amp;DiscreteStatsTable[[#This Row],[Name]]&amp;DiscreteStatsTable[[#This Row],[Type]]&amp;DiscreteStatsTable[[#This Row],[Source]]</f>
        <v>Unnamed ProjectPartVA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1.0527713940760601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4.770801709127144E-3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5.9237327247921596E-3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1.04747342063617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1.05884883095601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0.50002014274468798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1.6059959295289401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5989</v>
      </c>
      <c r="W18">
        <f>IF((DiscreteStatsTable[[#This Row],[RepsRequested]]&gt;1),DiscreteStatsTable[[#This Row],[HalfWidth]],DiscreteStatsTable[[#This Row],[BatchMeansHalfWidth]])</f>
        <v>5.9237327247921596E-3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0.18847901053973501</v>
      </c>
      <c r="H19">
        <v>1.8439319521351801E-2</v>
      </c>
      <c r="I19">
        <v>0</v>
      </c>
      <c r="J19">
        <v>2.7204461591027198</v>
      </c>
      <c r="K19">
        <v>6010</v>
      </c>
      <c r="L19" t="str">
        <f>DiscreteStatsTable[[#This Row],[ProjectName]]&amp;DiscreteStatsTable[[#This Row],[Name]]&amp;DiscreteStatsTable[[#This Row],[Type]]&amp;DiscreteStatsTable[[#This Row],[Source]]</f>
        <v>Unnamed ProjectPartWait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0.20093962630411721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9.0059334139769402E-3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1.118234329035548E-2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0.18847901053973501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0.21131694617762301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4.1060321805034601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5989</v>
      </c>
      <c r="W19">
        <f>IF((DiscreteStatsTable[[#This Row],[RepsRequested]]&gt;1),DiscreteStatsTable[[#This Row],[HalfWidth]],DiscreteStatsTable[[#This Row],[BatchMeansHalfWidth]])</f>
        <v>1.118234329035548E-2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0</v>
      </c>
      <c r="I20">
        <v>0</v>
      </c>
      <c r="J20">
        <v>0</v>
      </c>
      <c r="K20">
        <v>5974</v>
      </c>
      <c r="L20" t="str">
        <f>DiscreteStatsTable[[#This Row],[ProjectName]]&amp;DiscreteStatsTable[[#This Row],[Name]]&amp;DiscreteStatsTable[[#This Row],[Type]]&amp;DiscreteStatsTable[[#This Row],[Source]]</f>
        <v>Unnamed ProjectPartNVA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5989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0</v>
      </c>
      <c r="H21">
        <v>0</v>
      </c>
      <c r="I21">
        <v>0</v>
      </c>
      <c r="J21">
        <v>0</v>
      </c>
      <c r="K21">
        <v>5974</v>
      </c>
      <c r="L21" t="str">
        <f>DiscreteStatsTable[[#This Row],[ProjectName]]&amp;DiscreteStatsTable[[#This Row],[Name]]&amp;DiscreteStatsTable[[#This Row],[Type]]&amp;DiscreteStatsTable[[#This Row],[Source]]</f>
        <v>Unnamed ProjectPartOther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5989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1.2573031790929801</v>
      </c>
      <c r="H22">
        <v>2.6116750735648599E-2</v>
      </c>
      <c r="I22">
        <v>0.50002014274468798</v>
      </c>
      <c r="J22">
        <v>4.3443435464682798</v>
      </c>
      <c r="K22">
        <v>5974</v>
      </c>
      <c r="L22" t="str">
        <f>DiscreteStatsTable[[#This Row],[ProjectName]]&amp;DiscreteStatsTable[[#This Row],[Name]]&amp;DiscreteStatsTable[[#This Row],[Type]]&amp;DiscreteStatsTable[[#This Row],[Source]]</f>
        <v>Unnamed ProjectPartTotal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1.253711020380178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1.0855466000157715E-2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1.3478841316120848E-2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1.2359524311759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1.26537456589806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0.50002014274468798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4.9504233378916096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5989</v>
      </c>
      <c r="W22">
        <f>IF((DiscreteStatsTable[[#This Row],[RepsRequested]]&gt;1),DiscreteStatsTable[[#This Row],[HalfWidth]],DiscreteStatsTable[[#This Row],[BatchMeansHalfWidth]])</f>
        <v>1.3478841316120848E-2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0</v>
      </c>
      <c r="I23">
        <v>0</v>
      </c>
      <c r="J23">
        <v>0</v>
      </c>
      <c r="K23">
        <v>5974</v>
      </c>
      <c r="L23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5989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1.05884883095601</v>
      </c>
      <c r="H24">
        <v>8.0658066706240407E-3</v>
      </c>
      <c r="I24">
        <v>0.50002014274468798</v>
      </c>
      <c r="J24">
        <v>1.60589467554701</v>
      </c>
      <c r="K24">
        <v>5974</v>
      </c>
      <c r="L24" t="str">
        <f>DiscreteStatsTable[[#This Row],[ProjectName]]&amp;DiscreteStatsTable[[#This Row],[Name]]&amp;DiscreteStatsTable[[#This Row],[Type]]&amp;DiscreteStatsTable[[#This Row],[Source]]</f>
        <v>Unnamed ProjectPartVA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1.0527713940760601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4.770801709127144E-3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5.9237327247921596E-3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1.04747342063617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1.05884883095601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0.50002014274468798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1.6059959295289401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5989</v>
      </c>
      <c r="W24">
        <f>IF((DiscreteStatsTable[[#This Row],[RepsRequested]]&gt;1),DiscreteStatsTable[[#This Row],[HalfWidth]],DiscreteStatsTable[[#This Row],[BatchMeansHalfWidth]])</f>
        <v>5.9237327247921596E-3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0.19845434813696</v>
      </c>
      <c r="H25">
        <v>2.1697464873626501E-2</v>
      </c>
      <c r="I25">
        <v>0</v>
      </c>
      <c r="J25">
        <v>3.09233624899161</v>
      </c>
      <c r="K25">
        <v>5974</v>
      </c>
      <c r="L25" t="str">
        <f>DiscreteStatsTable[[#This Row],[ProjectName]]&amp;DiscreteStatsTable[[#This Row],[Name]]&amp;DiscreteStatsTable[[#This Row],[Type]]&amp;DiscreteStatsTable[[#This Row],[Source]]</f>
        <v>Unnamed ProjectPartWait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0.20093962630411721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9.0059334139769402E-3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1.118234329035548E-2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0.18847901053973501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0.21131694617762301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4.1060321805034601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5989</v>
      </c>
      <c r="W25">
        <f>IF((DiscreteStatsTable[[#This Row],[RepsRequested]]&gt;1),DiscreteStatsTable[[#This Row],[HalfWidth]],DiscreteStatsTable[[#This Row],[BatchMeansHalfWidth]])</f>
        <v>1.118234329035548E-2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0</v>
      </c>
      <c r="I26">
        <v>0</v>
      </c>
      <c r="J26">
        <v>0</v>
      </c>
      <c r="K26">
        <v>5989</v>
      </c>
      <c r="L26" t="str">
        <f>DiscreteStatsTable[[#This Row],[ProjectName]]&amp;DiscreteStatsTable[[#This Row],[Name]]&amp;DiscreteStatsTable[[#This Row],[Type]]&amp;DiscreteStatsTable[[#This Row],[Source]]</f>
        <v>Unnamed ProjectPartNVA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5989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0</v>
      </c>
      <c r="H27">
        <v>0</v>
      </c>
      <c r="I27">
        <v>0</v>
      </c>
      <c r="J27">
        <v>0</v>
      </c>
      <c r="K27">
        <v>5989</v>
      </c>
      <c r="L27" t="str">
        <f>DiscreteStatsTable[[#This Row],[ProjectName]]&amp;DiscreteStatsTable[[#This Row],[Name]]&amp;DiscreteStatsTable[[#This Row],[Type]]&amp;DiscreteStatsTable[[#This Row],[Source]]</f>
        <v>Unnamed ProjectPartOther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5989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1.2563629918625401</v>
      </c>
      <c r="H28">
        <v>3.2193509726060797E-2</v>
      </c>
      <c r="I28">
        <v>0.50015981165824996</v>
      </c>
      <c r="J28">
        <v>4.9504233378916096</v>
      </c>
      <c r="K28">
        <v>5989</v>
      </c>
      <c r="L28" t="str">
        <f>DiscreteStatsTable[[#This Row],[ProjectName]]&amp;DiscreteStatsTable[[#This Row],[Name]]&amp;DiscreteStatsTable[[#This Row],[Type]]&amp;DiscreteStatsTable[[#This Row],[Source]]</f>
        <v>Unnamed ProjectPartTotal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1.253711020380178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1.0855466000157715E-2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1.3478841316120848E-2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1.2359524311759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1.26537456589806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0.50002014274468798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4.9504233378916096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5989</v>
      </c>
      <c r="W28">
        <f>IF((DiscreteStatsTable[[#This Row],[RepsRequested]]&gt;1),DiscreteStatsTable[[#This Row],[HalfWidth]],DiscreteStatsTable[[#This Row],[BatchMeansHalfWidth]])</f>
        <v>1.3478841316120848E-2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0</v>
      </c>
      <c r="I29">
        <v>0</v>
      </c>
      <c r="J29">
        <v>0</v>
      </c>
      <c r="K29">
        <v>5989</v>
      </c>
      <c r="L29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5989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1.0484030943859901</v>
      </c>
      <c r="H30">
        <v>8.0726968513263608E-3</v>
      </c>
      <c r="I30">
        <v>0.500132660244617</v>
      </c>
      <c r="J30">
        <v>1.6058812594965299</v>
      </c>
      <c r="K30">
        <v>5989</v>
      </c>
      <c r="L30" t="str">
        <f>DiscreteStatsTable[[#This Row],[ProjectName]]&amp;DiscreteStatsTable[[#This Row],[Name]]&amp;DiscreteStatsTable[[#This Row],[Type]]&amp;DiscreteStatsTable[[#This Row],[Source]]</f>
        <v>Unnamed ProjectPartVA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1.0527713940760601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4.770801709127144E-3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5.9237327247921596E-3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1.04747342063617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1.05884883095601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0.50002014274468798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1.6059959295289401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5989</v>
      </c>
      <c r="W30">
        <f>IF((DiscreteStatsTable[[#This Row],[RepsRequested]]&gt;1),DiscreteStatsTable[[#This Row],[HalfWidth]],DiscreteStatsTable[[#This Row],[BatchMeansHalfWidth]])</f>
        <v>5.9237327247921596E-3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0.207959897476546</v>
      </c>
      <c r="H31">
        <v>2.7096793105302001E-2</v>
      </c>
      <c r="I31">
        <v>0</v>
      </c>
      <c r="J31">
        <v>3.6071218561414802</v>
      </c>
      <c r="K31">
        <v>5989</v>
      </c>
      <c r="L31" t="str">
        <f>DiscreteStatsTable[[#This Row],[ProjectName]]&amp;DiscreteStatsTable[[#This Row],[Name]]&amp;DiscreteStatsTable[[#This Row],[Type]]&amp;DiscreteStatsTable[[#This Row],[Source]]</f>
        <v>Unnamed ProjectPartWait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0.20093962630411721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9.0059334139769402E-3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1.118234329035548E-2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0.18847901053973501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0.21131694617762301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4.1060321805034601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5989</v>
      </c>
      <c r="W31">
        <f>IF((DiscreteStatsTable[[#This Row],[RepsRequested]]&gt;1),DiscreteStatsTable[[#This Row],[HalfWidth]],DiscreteStatsTable[[#This Row],[BatchMeansHalfWidth]])</f>
        <v>1.118234329035548E-2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69</v>
      </c>
      <c r="C32">
        <v>1</v>
      </c>
      <c r="D32" t="s">
        <v>78</v>
      </c>
      <c r="E32" t="s">
        <v>79</v>
      </c>
      <c r="F32" t="s">
        <v>80</v>
      </c>
      <c r="G32">
        <v>0.21133450489667199</v>
      </c>
      <c r="H32">
        <v>1.9820567793044901E-2</v>
      </c>
      <c r="I32">
        <v>0</v>
      </c>
      <c r="J32">
        <v>3.5376145392629001</v>
      </c>
      <c r="K32">
        <v>5995</v>
      </c>
      <c r="L32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0.20096920288947179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8.9688376407337442E-3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1.1136282804233873E-2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0.188599051615854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0.21133450489667199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4.1060321805034601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5989.6</v>
      </c>
      <c r="W32">
        <f>IF((DiscreteStatsTable[[#This Row],[RepsRequested]]&gt;1),DiscreteStatsTable[[#This Row],[HalfWidth]],DiscreteStatsTable[[#This Row],[BatchMeansHalfWidth]])</f>
        <v>1.1136282804233873E-2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69</v>
      </c>
      <c r="C33">
        <v>2</v>
      </c>
      <c r="D33" t="s">
        <v>78</v>
      </c>
      <c r="E33" t="s">
        <v>79</v>
      </c>
      <c r="F33" t="s">
        <v>80</v>
      </c>
      <c r="G33">
        <v>0.19845473167689501</v>
      </c>
      <c r="H33">
        <v>2.38191535453516E-2</v>
      </c>
      <c r="I33">
        <v>0</v>
      </c>
      <c r="J33">
        <v>4.1060321805034601</v>
      </c>
      <c r="K33">
        <v>5979</v>
      </c>
      <c r="L33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0.20096920288947179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8.9688376407337442E-3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1.1136282804233873E-2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0.188599051615854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0.21133450489667199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4.1060321805034601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5989.6</v>
      </c>
      <c r="W33">
        <f>IF((DiscreteStatsTable[[#This Row],[RepsRequested]]&gt;1),DiscreteStatsTable[[#This Row],[HalfWidth]],DiscreteStatsTable[[#This Row],[BatchMeansHalfWidth]])</f>
        <v>1.1136282804233873E-2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69</v>
      </c>
      <c r="C34">
        <v>3</v>
      </c>
      <c r="D34" t="s">
        <v>78</v>
      </c>
      <c r="E34" t="s">
        <v>79</v>
      </c>
      <c r="F34" t="s">
        <v>80</v>
      </c>
      <c r="G34">
        <v>0.188599051615854</v>
      </c>
      <c r="H34">
        <v>1.8439319521351801E-2</v>
      </c>
      <c r="I34">
        <v>0</v>
      </c>
      <c r="J34">
        <v>2.7204461591027198</v>
      </c>
      <c r="K34">
        <v>6011</v>
      </c>
      <c r="L34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0.20096920288947179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8.9688376407337442E-3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1.1136282804233873E-2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0.188599051615854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0.21133450489667199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4.1060321805034601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5989.6</v>
      </c>
      <c r="W34">
        <f>IF((DiscreteStatsTable[[#This Row],[RepsRequested]]&gt;1),DiscreteStatsTable[[#This Row],[HalfWidth]],DiscreteStatsTable[[#This Row],[BatchMeansHalfWidth]])</f>
        <v>1.1136282804233873E-2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69</v>
      </c>
      <c r="C35">
        <v>4</v>
      </c>
      <c r="D35" t="s">
        <v>78</v>
      </c>
      <c r="E35" t="s">
        <v>79</v>
      </c>
      <c r="F35" t="s">
        <v>80</v>
      </c>
      <c r="G35">
        <v>0.19849782878139199</v>
      </c>
      <c r="H35">
        <v>2.11993164485294E-2</v>
      </c>
      <c r="I35">
        <v>0</v>
      </c>
      <c r="J35">
        <v>3.09233624899161</v>
      </c>
      <c r="K35">
        <v>5974</v>
      </c>
      <c r="L35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0.20096920288947179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8.9688376407337442E-3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1.1136282804233873E-2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0.188599051615854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0.21133450489667199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4.1060321805034601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5989.6</v>
      </c>
      <c r="W35">
        <f>IF((DiscreteStatsTable[[#This Row],[RepsRequested]]&gt;1),DiscreteStatsTable[[#This Row],[HalfWidth]],DiscreteStatsTable[[#This Row],[BatchMeansHalfWidth]])</f>
        <v>1.1136282804233873E-2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69</v>
      </c>
      <c r="C36">
        <v>5</v>
      </c>
      <c r="D36" t="s">
        <v>78</v>
      </c>
      <c r="E36" t="s">
        <v>79</v>
      </c>
      <c r="F36" t="s">
        <v>80</v>
      </c>
      <c r="G36">
        <v>0.207959897476546</v>
      </c>
      <c r="H36">
        <v>2.7096793105302001E-2</v>
      </c>
      <c r="I36">
        <v>0</v>
      </c>
      <c r="J36">
        <v>3.6071218561414802</v>
      </c>
      <c r="K36">
        <v>5989</v>
      </c>
      <c r="L36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0.20096920288947179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8.9688376407337442E-3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1.1136282804233873E-2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0.188599051615854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0.21133450489667199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4.1060321805034601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5989.6</v>
      </c>
      <c r="W36">
        <f>IF((DiscreteStatsTable[[#This Row],[RepsRequested]]&gt;1),DiscreteStatsTable[[#This Row],[HalfWidth]],DiscreteStatsTable[[#This Row],[BatchMeansHalfWidth]])</f>
        <v>1.1136282804233873E-2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  <row r="37" spans="1:25" x14ac:dyDescent="0.3"/>
    <row r="38" spans="1:25" x14ac:dyDescent="0.3"/>
    <row r="39" spans="1:25" x14ac:dyDescent="0.3"/>
    <row r="40" spans="1:25" x14ac:dyDescent="0.3"/>
    <row r="41" spans="1:25" x14ac:dyDescent="0.3"/>
    <row r="42" spans="1:25" x14ac:dyDescent="0.3"/>
    <row r="43" spans="1:25" x14ac:dyDescent="0.3"/>
    <row r="44" spans="1:25" x14ac:dyDescent="0.3"/>
    <row r="45" spans="1:25" x14ac:dyDescent="0.3"/>
    <row r="46" spans="1:25" x14ac:dyDescent="0.3"/>
    <row r="47" spans="1:25" x14ac:dyDescent="0.3"/>
    <row r="48" spans="1:25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phoneticPr fontId="2" type="noConversion"/>
  <conditionalFormatting sqref="H2:H36 Q2:Q36">
    <cfRule type="expression" dxfId="20" priority="23">
      <formula>H2=200000000000000000000</formula>
    </cfRule>
  </conditionalFormatting>
  <conditionalFormatting sqref="H2:H36">
    <cfRule type="expression" dxfId="19" priority="21">
      <formula>H2=300000000000000000000</formula>
    </cfRule>
  </conditionalFormatting>
  <conditionalFormatting sqref="L2:Y36">
    <cfRule type="expression" dxfId="18" priority="19">
      <formula>MOD(ROW(),2)=0</formula>
    </cfRule>
  </conditionalFormatting>
  <conditionalFormatting sqref="Y2:Y36">
    <cfRule type="expression" dxfId="17" priority="14">
      <formula>Y2=0</formula>
    </cfRule>
    <cfRule type="expression" dxfId="16" priority="16">
      <formula>Y2=1</formula>
    </cfRule>
  </conditionalFormatting>
  <conditionalFormatting sqref="Y3:Y36">
    <cfRule type="expression" dxfId="15" priority="15">
      <formula>Y3=1</formula>
    </cfRule>
  </conditionalFormatting>
  <conditionalFormatting sqref="W2:W3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6 W2:W3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6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4.58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2.914062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81</v>
      </c>
      <c r="F2" t="s">
        <v>72</v>
      </c>
      <c r="G2">
        <v>0.84280608045172001</v>
      </c>
      <c r="H2">
        <v>2.1341892532809902E-2</v>
      </c>
      <c r="I2">
        <v>0</v>
      </c>
      <c r="J2">
        <v>4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0.83433614854695171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6.2264402382012024E-3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7.7311466807417012E-3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0.82551100712760905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0.84280608045172001</v>
      </c>
      <c r="U2">
        <f>IF((ContinuousStatsTable[[#This Row],[RepsRequested]]&gt;1),ContinuousStatsTable[[#This Row],[HalfWidth]],ContinuousStatsTable[[#This Row],[BatchMeansHalfWidth]])</f>
        <v>7.7311466807417012E-3</v>
      </c>
    </row>
    <row r="3" spans="1:21" x14ac:dyDescent="0.3">
      <c r="A3" t="s">
        <v>66</v>
      </c>
      <c r="B3" t="s">
        <v>69</v>
      </c>
      <c r="C3">
        <v>1</v>
      </c>
      <c r="D3" t="s">
        <v>78</v>
      </c>
      <c r="E3" t="s">
        <v>82</v>
      </c>
      <c r="F3" t="s">
        <v>80</v>
      </c>
      <c r="G3">
        <v>0.14077226187283901</v>
      </c>
      <c r="H3">
        <v>1.55412705627606E-2</v>
      </c>
      <c r="I3">
        <v>0</v>
      </c>
      <c r="J3">
        <v>3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0.13374999287411979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5.8860266644613574E-3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7.3084674017290536E-3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0.125993402961846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0.14077226187283901</v>
      </c>
      <c r="U3">
        <f>IF((ContinuousStatsTable[[#This Row],[RepsRequested]]&gt;1),ContinuousStatsTable[[#This Row],[HalfWidth]],ContinuousStatsTable[[#This Row],[BatchMeansHalfWidth]])</f>
        <v>7.3084674017290536E-3</v>
      </c>
    </row>
    <row r="4" spans="1:21" x14ac:dyDescent="0.3">
      <c r="A4" t="s">
        <v>66</v>
      </c>
      <c r="B4" t="s">
        <v>69</v>
      </c>
      <c r="C4">
        <v>1</v>
      </c>
      <c r="D4" t="s">
        <v>83</v>
      </c>
      <c r="E4" t="s">
        <v>84</v>
      </c>
      <c r="F4" t="s">
        <v>85</v>
      </c>
      <c r="G4">
        <v>0.70203381857888003</v>
      </c>
      <c r="H4">
        <v>7.8930284179629297E-3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0.70058615567283034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2.0545725290783091E-3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2.5510887410549921E-3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0.69765401469752297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0.70280900871666097</v>
      </c>
      <c r="U4">
        <f>IF((ContinuousStatsTable[[#This Row],[RepsRequested]]&gt;1),ContinuousStatsTable[[#This Row],[HalfWidth]],ContinuousStatsTable[[#This Row],[BatchMeansHalfWidth]])</f>
        <v>2.5510887410549921E-3</v>
      </c>
    </row>
    <row r="5" spans="1:21" x14ac:dyDescent="0.3">
      <c r="A5" t="s">
        <v>66</v>
      </c>
      <c r="B5" t="s">
        <v>69</v>
      </c>
      <c r="C5">
        <v>1</v>
      </c>
      <c r="D5" t="s">
        <v>83</v>
      </c>
      <c r="E5" t="s">
        <v>86</v>
      </c>
      <c r="F5" t="s">
        <v>85</v>
      </c>
      <c r="G5">
        <v>0.70203381857888003</v>
      </c>
      <c r="H5">
        <v>7.8930284179629297E-3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0.70058615567283034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2.0545725290783091E-3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2.5510887410549921E-3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0.69765401469752297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0.70280900871666097</v>
      </c>
      <c r="U5">
        <f>IF((ContinuousStatsTable[[#This Row],[RepsRequested]]&gt;1),ContinuousStatsTable[[#This Row],[HalfWidth]],ContinuousStatsTable[[#This Row],[BatchMeansHalfWidth]])</f>
        <v>2.5510887410549921E-3</v>
      </c>
    </row>
    <row r="6" spans="1:21" x14ac:dyDescent="0.3">
      <c r="A6" t="s">
        <v>66</v>
      </c>
      <c r="B6" t="s">
        <v>69</v>
      </c>
      <c r="C6">
        <v>1</v>
      </c>
      <c r="D6" t="s">
        <v>83</v>
      </c>
      <c r="E6" t="s">
        <v>87</v>
      </c>
      <c r="F6" t="s">
        <v>85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">
      <c r="A7" t="s">
        <v>66</v>
      </c>
      <c r="B7" t="s">
        <v>69</v>
      </c>
      <c r="C7">
        <v>2</v>
      </c>
      <c r="D7" t="s">
        <v>70</v>
      </c>
      <c r="E7" t="s">
        <v>81</v>
      </c>
      <c r="F7" t="s">
        <v>72</v>
      </c>
      <c r="G7">
        <v>0.83275642561601104</v>
      </c>
      <c r="H7">
        <v>2.2941175821632801E-2</v>
      </c>
      <c r="I7">
        <v>0</v>
      </c>
      <c r="J7">
        <v>5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ProjectPartWIPEntity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0.83433614854695171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6.2264402382012024E-3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7.7311466807417012E-3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0.82551100712760905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0.84280608045172001</v>
      </c>
      <c r="U7">
        <f>IF((ContinuousStatsTable[[#This Row],[RepsRequested]]&gt;1),ContinuousStatsTable[[#This Row],[HalfWidth]],ContinuousStatsTable[[#This Row],[BatchMeansHalfWidth]])</f>
        <v>7.7311466807417012E-3</v>
      </c>
    </row>
    <row r="8" spans="1:21" x14ac:dyDescent="0.3">
      <c r="A8" t="s">
        <v>66</v>
      </c>
      <c r="B8" t="s">
        <v>69</v>
      </c>
      <c r="C8">
        <v>2</v>
      </c>
      <c r="D8" t="s">
        <v>78</v>
      </c>
      <c r="E8" t="s">
        <v>82</v>
      </c>
      <c r="F8" t="s">
        <v>80</v>
      </c>
      <c r="G8">
        <v>0.13184009341068401</v>
      </c>
      <c r="H8">
        <v>3E+20</v>
      </c>
      <c r="I8">
        <v>0</v>
      </c>
      <c r="J8">
        <v>4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0.13374999287411979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5.8860266644613574E-3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7.3084674017290536E-3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0.125993402961846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0.14077226187283901</v>
      </c>
      <c r="U8">
        <f>IF((ContinuousStatsTable[[#This Row],[RepsRequested]]&gt;1),ContinuousStatsTable[[#This Row],[HalfWidth]],ContinuousStatsTable[[#This Row],[BatchMeansHalfWidth]])</f>
        <v>7.3084674017290536E-3</v>
      </c>
    </row>
    <row r="9" spans="1:21" x14ac:dyDescent="0.3">
      <c r="A9" t="s">
        <v>66</v>
      </c>
      <c r="B9" t="s">
        <v>69</v>
      </c>
      <c r="C9">
        <v>2</v>
      </c>
      <c r="D9" t="s">
        <v>83</v>
      </c>
      <c r="E9" t="s">
        <v>84</v>
      </c>
      <c r="F9" t="s">
        <v>85</v>
      </c>
      <c r="G9">
        <v>0.70091633220532901</v>
      </c>
      <c r="H9">
        <v>8.0874308817644701E-3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0.70058615567283034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2.0545725290783091E-3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2.5510887410549921E-3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0.69765401469752297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0.70280900871666097</v>
      </c>
      <c r="U9">
        <f>IF((ContinuousStatsTable[[#This Row],[RepsRequested]]&gt;1),ContinuousStatsTable[[#This Row],[HalfWidth]],ContinuousStatsTable[[#This Row],[BatchMeansHalfWidth]])</f>
        <v>2.5510887410549921E-3</v>
      </c>
    </row>
    <row r="10" spans="1:21" x14ac:dyDescent="0.3">
      <c r="A10" t="s">
        <v>66</v>
      </c>
      <c r="B10" t="s">
        <v>69</v>
      </c>
      <c r="C10">
        <v>2</v>
      </c>
      <c r="D10" t="s">
        <v>83</v>
      </c>
      <c r="E10" t="s">
        <v>86</v>
      </c>
      <c r="F10" t="s">
        <v>85</v>
      </c>
      <c r="G10">
        <v>0.70091633220532901</v>
      </c>
      <c r="H10">
        <v>8.0874308817644701E-3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0.70058615567283034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2.0545725290783091E-3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2.5510887410549921E-3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0.69765401469752297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0.70280900871666097</v>
      </c>
      <c r="U10">
        <f>IF((ContinuousStatsTable[[#This Row],[RepsRequested]]&gt;1),ContinuousStatsTable[[#This Row],[HalfWidth]],ContinuousStatsTable[[#This Row],[BatchMeansHalfWidth]])</f>
        <v>2.5510887410549921E-3</v>
      </c>
    </row>
    <row r="11" spans="1:21" x14ac:dyDescent="0.3">
      <c r="A11" t="s">
        <v>66</v>
      </c>
      <c r="B11" t="s">
        <v>69</v>
      </c>
      <c r="C11">
        <v>2</v>
      </c>
      <c r="D11" t="s">
        <v>83</v>
      </c>
      <c r="E11" t="s">
        <v>87</v>
      </c>
      <c r="F11" t="s">
        <v>85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">
      <c r="A12" t="s">
        <v>66</v>
      </c>
      <c r="B12" t="s">
        <v>69</v>
      </c>
      <c r="C12">
        <v>3</v>
      </c>
      <c r="D12" t="s">
        <v>70</v>
      </c>
      <c r="E12" t="s">
        <v>81</v>
      </c>
      <c r="F12" t="s">
        <v>72</v>
      </c>
      <c r="G12">
        <v>0.82551100712760905</v>
      </c>
      <c r="H12">
        <v>1.7603911936285299E-2</v>
      </c>
      <c r="I12">
        <v>0</v>
      </c>
      <c r="J12">
        <v>4</v>
      </c>
      <c r="K12">
        <v>2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0.83433614854695171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6.2264402382012024E-3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7.7311466807417012E-3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0.82551100712760905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0.84280608045172001</v>
      </c>
      <c r="U12" s="5">
        <f>IF((ContinuousStatsTable[[#This Row],[RepsRequested]]&gt;1),ContinuousStatsTable[[#This Row],[HalfWidth]],ContinuousStatsTable[[#This Row],[BatchMeansHalfWidth]])</f>
        <v>7.7311466807417012E-3</v>
      </c>
    </row>
    <row r="13" spans="1:21" x14ac:dyDescent="0.3">
      <c r="A13" t="s">
        <v>66</v>
      </c>
      <c r="B13" t="s">
        <v>69</v>
      </c>
      <c r="C13">
        <v>3</v>
      </c>
      <c r="D13" t="s">
        <v>78</v>
      </c>
      <c r="E13" t="s">
        <v>82</v>
      </c>
      <c r="F13" t="s">
        <v>80</v>
      </c>
      <c r="G13">
        <v>0.125993402961846</v>
      </c>
      <c r="H13">
        <v>1.22776765900814E-2</v>
      </c>
      <c r="I13">
        <v>0</v>
      </c>
      <c r="J13">
        <v>3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0.13374999287411979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5.8860266644613574E-3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7.3084674017290536E-3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0.125993402961846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0.14077226187283901</v>
      </c>
      <c r="U13" s="5">
        <f>IF((ContinuousStatsTable[[#This Row],[RepsRequested]]&gt;1),ContinuousStatsTable[[#This Row],[HalfWidth]],ContinuousStatsTable[[#This Row],[BatchMeansHalfWidth]])</f>
        <v>7.3084674017290536E-3</v>
      </c>
    </row>
    <row r="14" spans="1:21" x14ac:dyDescent="0.3">
      <c r="A14" t="s">
        <v>66</v>
      </c>
      <c r="B14" t="s">
        <v>69</v>
      </c>
      <c r="C14">
        <v>3</v>
      </c>
      <c r="D14" t="s">
        <v>83</v>
      </c>
      <c r="E14" t="s">
        <v>84</v>
      </c>
      <c r="F14" t="s">
        <v>85</v>
      </c>
      <c r="G14">
        <v>0.69951760416575903</v>
      </c>
      <c r="H14">
        <v>7.1025676939685803E-3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0.70058615567283034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2.0545725290783091E-3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2.5510887410549921E-3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0.69765401469752297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0.70280900871666097</v>
      </c>
      <c r="U14" s="5">
        <f>IF((ContinuousStatsTable[[#This Row],[RepsRequested]]&gt;1),ContinuousStatsTable[[#This Row],[HalfWidth]],ContinuousStatsTable[[#This Row],[BatchMeansHalfWidth]])</f>
        <v>2.5510887410549921E-3</v>
      </c>
    </row>
    <row r="15" spans="1:21" x14ac:dyDescent="0.3">
      <c r="A15" t="s">
        <v>66</v>
      </c>
      <c r="B15" t="s">
        <v>69</v>
      </c>
      <c r="C15">
        <v>3</v>
      </c>
      <c r="D15" t="s">
        <v>83</v>
      </c>
      <c r="E15" t="s">
        <v>86</v>
      </c>
      <c r="F15" t="s">
        <v>85</v>
      </c>
      <c r="G15">
        <v>0.69951760416575903</v>
      </c>
      <c r="H15">
        <v>7.1025676939685803E-3</v>
      </c>
      <c r="I15">
        <v>0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0.70058615567283034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2.0545725290783091E-3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2.5510887410549921E-3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0.69765401469752297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0.70280900871666097</v>
      </c>
      <c r="U15" s="5">
        <f>IF((ContinuousStatsTable[[#This Row],[RepsRequested]]&gt;1),ContinuousStatsTable[[#This Row],[HalfWidth]],ContinuousStatsTable[[#This Row],[BatchMeansHalfWidth]])</f>
        <v>2.5510887410549921E-3</v>
      </c>
    </row>
    <row r="16" spans="1:21" x14ac:dyDescent="0.3">
      <c r="A16" t="s">
        <v>66</v>
      </c>
      <c r="B16" t="s">
        <v>69</v>
      </c>
      <c r="C16">
        <v>3</v>
      </c>
      <c r="D16" t="s">
        <v>83</v>
      </c>
      <c r="E16" t="s">
        <v>87</v>
      </c>
      <c r="F16" t="s">
        <v>85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0</v>
      </c>
    </row>
    <row r="17" spans="1:21" x14ac:dyDescent="0.3">
      <c r="A17" t="s">
        <v>66</v>
      </c>
      <c r="B17" t="s">
        <v>69</v>
      </c>
      <c r="C17">
        <v>4</v>
      </c>
      <c r="D17" t="s">
        <v>70</v>
      </c>
      <c r="E17" t="s">
        <v>81</v>
      </c>
      <c r="F17" t="s">
        <v>72</v>
      </c>
      <c r="G17">
        <v>0.83456745639888696</v>
      </c>
      <c r="H17">
        <v>2.24476470669406E-2</v>
      </c>
      <c r="I17">
        <v>0</v>
      </c>
      <c r="J17">
        <v>5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0.83433614854695171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6.2264402382012024E-3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7.7311466807417012E-3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0.82551100712760905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0.84280608045172001</v>
      </c>
      <c r="U17" s="5">
        <f>IF((ContinuousStatsTable[[#This Row],[RepsRequested]]&gt;1),ContinuousStatsTable[[#This Row],[HalfWidth]],ContinuousStatsTable[[#This Row],[BatchMeansHalfWidth]])</f>
        <v>7.7311466807417012E-3</v>
      </c>
    </row>
    <row r="18" spans="1:21" x14ac:dyDescent="0.3">
      <c r="A18" t="s">
        <v>66</v>
      </c>
      <c r="B18" t="s">
        <v>69</v>
      </c>
      <c r="C18">
        <v>4</v>
      </c>
      <c r="D18" t="s">
        <v>78</v>
      </c>
      <c r="E18" t="s">
        <v>82</v>
      </c>
      <c r="F18" t="s">
        <v>80</v>
      </c>
      <c r="G18">
        <v>0.131758447682226</v>
      </c>
      <c r="H18">
        <v>1.45909780765601E-2</v>
      </c>
      <c r="I18">
        <v>0</v>
      </c>
      <c r="J18">
        <v>4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0.13374999287411979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5.8860266644613574E-3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7.3084674017290536E-3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0.125993402961846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0.14077226187283901</v>
      </c>
      <c r="U18" s="5">
        <f>IF((ContinuousStatsTable[[#This Row],[RepsRequested]]&gt;1),ContinuousStatsTable[[#This Row],[HalfWidth]],ContinuousStatsTable[[#This Row],[BatchMeansHalfWidth]])</f>
        <v>7.3084674017290536E-3</v>
      </c>
    </row>
    <row r="19" spans="1:21" x14ac:dyDescent="0.3">
      <c r="A19" t="s">
        <v>66</v>
      </c>
      <c r="B19" t="s">
        <v>69</v>
      </c>
      <c r="C19">
        <v>4</v>
      </c>
      <c r="D19" t="s">
        <v>83</v>
      </c>
      <c r="E19" t="s">
        <v>84</v>
      </c>
      <c r="F19" t="s">
        <v>85</v>
      </c>
      <c r="G19">
        <v>0.70280900871666097</v>
      </c>
      <c r="H19">
        <v>9.1150125992192407E-3</v>
      </c>
      <c r="I19">
        <v>0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0.70058615567283034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2.0545725290783091E-3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2.5510887410549921E-3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0.69765401469752297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0.70280900871666097</v>
      </c>
      <c r="U19" s="5">
        <f>IF((ContinuousStatsTable[[#This Row],[RepsRequested]]&gt;1),ContinuousStatsTable[[#This Row],[HalfWidth]],ContinuousStatsTable[[#This Row],[BatchMeansHalfWidth]])</f>
        <v>2.5510887410549921E-3</v>
      </c>
    </row>
    <row r="20" spans="1:21" x14ac:dyDescent="0.3">
      <c r="A20" t="s">
        <v>66</v>
      </c>
      <c r="B20" t="s">
        <v>69</v>
      </c>
      <c r="C20">
        <v>4</v>
      </c>
      <c r="D20" t="s">
        <v>83</v>
      </c>
      <c r="E20" t="s">
        <v>86</v>
      </c>
      <c r="F20" t="s">
        <v>85</v>
      </c>
      <c r="G20">
        <v>0.70280900871666097</v>
      </c>
      <c r="H20">
        <v>9.1150125992192407E-3</v>
      </c>
      <c r="I20">
        <v>0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0.70058615567283034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2.0545725290783091E-3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2.5510887410549921E-3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0.69765401469752297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0.70280900871666097</v>
      </c>
      <c r="U20" s="5">
        <f>IF((ContinuousStatsTable[[#This Row],[RepsRequested]]&gt;1),ContinuousStatsTable[[#This Row],[HalfWidth]],ContinuousStatsTable[[#This Row],[BatchMeansHalfWidth]])</f>
        <v>2.5510887410549921E-3</v>
      </c>
    </row>
    <row r="21" spans="1:21" x14ac:dyDescent="0.3">
      <c r="A21" t="s">
        <v>66</v>
      </c>
      <c r="B21" t="s">
        <v>69</v>
      </c>
      <c r="C21">
        <v>4</v>
      </c>
      <c r="D21" t="s">
        <v>83</v>
      </c>
      <c r="E21" t="s">
        <v>87</v>
      </c>
      <c r="F21" t="s">
        <v>85</v>
      </c>
      <c r="G21">
        <v>1</v>
      </c>
      <c r="H21">
        <v>2E+20</v>
      </c>
      <c r="I21">
        <v>1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</v>
      </c>
      <c r="U21" s="5">
        <f>IF((ContinuousStatsTable[[#This Row],[RepsRequested]]&gt;1),ContinuousStatsTable[[#This Row],[HalfWidth]],ContinuousStatsTable[[#This Row],[BatchMeansHalfWidth]])</f>
        <v>0</v>
      </c>
    </row>
    <row r="22" spans="1:21" x14ac:dyDescent="0.3">
      <c r="A22" t="s">
        <v>66</v>
      </c>
      <c r="B22" t="s">
        <v>69</v>
      </c>
      <c r="C22">
        <v>5</v>
      </c>
      <c r="D22" t="s">
        <v>70</v>
      </c>
      <c r="E22" t="s">
        <v>81</v>
      </c>
      <c r="F22" t="s">
        <v>72</v>
      </c>
      <c r="G22">
        <v>0.83603977314053102</v>
      </c>
      <c r="H22">
        <v>2.8399135777503699E-2</v>
      </c>
      <c r="I22">
        <v>0</v>
      </c>
      <c r="J22">
        <v>4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0.83433614854695171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6.2264402382012024E-3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7.7311466807417012E-3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0.82551100712760905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0.84280608045172001</v>
      </c>
      <c r="U22" s="5">
        <f>IF((ContinuousStatsTable[[#This Row],[RepsRequested]]&gt;1),ContinuousStatsTable[[#This Row],[HalfWidth]],ContinuousStatsTable[[#This Row],[BatchMeansHalfWidth]])</f>
        <v>7.7311466807417012E-3</v>
      </c>
    </row>
    <row r="23" spans="1:21" x14ac:dyDescent="0.3">
      <c r="A23" t="s">
        <v>66</v>
      </c>
      <c r="B23" t="s">
        <v>69</v>
      </c>
      <c r="C23">
        <v>5</v>
      </c>
      <c r="D23" t="s">
        <v>78</v>
      </c>
      <c r="E23" t="s">
        <v>82</v>
      </c>
      <c r="F23" t="s">
        <v>80</v>
      </c>
      <c r="G23">
        <v>0.13838575844300399</v>
      </c>
      <c r="H23">
        <v>1.8742994319769401E-2</v>
      </c>
      <c r="I23">
        <v>0</v>
      </c>
      <c r="J23">
        <v>3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0.13374999287411979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5.8860266644613574E-3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7.3084674017290536E-3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0.125993402961846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0.14077226187283901</v>
      </c>
      <c r="U23" s="5">
        <f>IF((ContinuousStatsTable[[#This Row],[RepsRequested]]&gt;1),ContinuousStatsTable[[#This Row],[HalfWidth]],ContinuousStatsTable[[#This Row],[BatchMeansHalfWidth]])</f>
        <v>7.3084674017290536E-3</v>
      </c>
    </row>
    <row r="24" spans="1:21" x14ac:dyDescent="0.3">
      <c r="A24" t="s">
        <v>66</v>
      </c>
      <c r="B24" t="s">
        <v>69</v>
      </c>
      <c r="C24">
        <v>5</v>
      </c>
      <c r="D24" t="s">
        <v>83</v>
      </c>
      <c r="E24" t="s">
        <v>84</v>
      </c>
      <c r="F24" t="s">
        <v>85</v>
      </c>
      <c r="G24">
        <v>0.69765401469752297</v>
      </c>
      <c r="H24">
        <v>1.11844699560675E-2</v>
      </c>
      <c r="I24">
        <v>0</v>
      </c>
      <c r="J24">
        <v>1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0.70058615567283034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2.0545725290783091E-3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2.5510887410549921E-3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0.69765401469752297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0.70280900871666097</v>
      </c>
      <c r="U24" s="5">
        <f>IF((ContinuousStatsTable[[#This Row],[RepsRequested]]&gt;1),ContinuousStatsTable[[#This Row],[HalfWidth]],ContinuousStatsTable[[#This Row],[BatchMeansHalfWidth]])</f>
        <v>2.5510887410549921E-3</v>
      </c>
    </row>
    <row r="25" spans="1:21" x14ac:dyDescent="0.3">
      <c r="A25" t="s">
        <v>66</v>
      </c>
      <c r="B25" t="s">
        <v>69</v>
      </c>
      <c r="C25">
        <v>5</v>
      </c>
      <c r="D25" t="s">
        <v>83</v>
      </c>
      <c r="E25" t="s">
        <v>86</v>
      </c>
      <c r="F25" t="s">
        <v>85</v>
      </c>
      <c r="G25">
        <v>0.69765401469752297</v>
      </c>
      <c r="H25">
        <v>1.11844699560675E-2</v>
      </c>
      <c r="I25">
        <v>0</v>
      </c>
      <c r="J25">
        <v>1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0.70058615567283034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2.0545725290783091E-3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2.5510887410549921E-3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0.69765401469752297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0.70280900871666097</v>
      </c>
      <c r="U25" s="5">
        <f>IF((ContinuousStatsTable[[#This Row],[RepsRequested]]&gt;1),ContinuousStatsTable[[#This Row],[HalfWidth]],ContinuousStatsTable[[#This Row],[BatchMeansHalfWidth]])</f>
        <v>2.5510887410549921E-3</v>
      </c>
    </row>
    <row r="26" spans="1:21" x14ac:dyDescent="0.3">
      <c r="A26" t="s">
        <v>66</v>
      </c>
      <c r="B26" t="s">
        <v>69</v>
      </c>
      <c r="C26">
        <v>5</v>
      </c>
      <c r="D26" t="s">
        <v>83</v>
      </c>
      <c r="E26" t="s">
        <v>87</v>
      </c>
      <c r="F26" t="s">
        <v>85</v>
      </c>
      <c r="G26">
        <v>1</v>
      </c>
      <c r="H26">
        <v>2E+20</v>
      </c>
      <c r="I26">
        <v>1</v>
      </c>
      <c r="J26">
        <v>1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</v>
      </c>
      <c r="U26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26">
    <cfRule type="expression" dxfId="11" priority="9">
      <formula>H2=200000000000000000000</formula>
    </cfRule>
  </conditionalFormatting>
  <conditionalFormatting sqref="H2:H26">
    <cfRule type="expression" dxfId="10" priority="7">
      <formula>H2=300000000000000000000</formula>
    </cfRule>
  </conditionalFormatting>
  <conditionalFormatting sqref="M2:U26">
    <cfRule type="expression" dxfId="9" priority="5">
      <formula>MOD(ROW(),2)=0</formula>
    </cfRule>
  </conditionalFormatting>
  <conditionalFormatting sqref="U2:U2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6 U2:U2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6.1640625" bestFit="1" customWidth="1"/>
    <col min="8" max="8" width="13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7.582031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67.664062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72</v>
      </c>
      <c r="G2">
        <v>5995</v>
      </c>
      <c r="H2">
        <v>0</v>
      </c>
      <c r="I2" t="str">
        <f>OutputTable[[#This Row],[ProjectName]]&amp;OutputTable[[#This Row],[Name]]&amp;OutputTable[[#This Row],[Type]]&amp;OutputTable[[#This Row],[Source]]</f>
        <v>Unnamed ProjectPart.NumberInNumber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5989.8</v>
      </c>
      <c r="L2" cm="1">
        <f t="array" ref="L2">IFERROR(_xlfn.STDEV.S(IF((OutputTable[GroupByKey]=OutputTable[[#This Row],[GroupByKey]]),(OutputTable[GroupByKey]=OutputTable[[#This Row],[GroupByKey]])*OutputTable[RecordedValue])),0)</f>
        <v>14.889593681494469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18.487872422193924</v>
      </c>
      <c r="O2" cm="1">
        <f t="array" ref="O2">MIN(IF((OutputTable[GroupByKey]=OutputTable[[#This Row],[GroupByKey]]),(OutputTable[GroupByKey]=OutputTable[[#This Row],[GroupByKey]])*OutputTable[RecordedValue]))</f>
        <v>5974</v>
      </c>
      <c r="P2" cm="1">
        <f t="array" ref="P2">MAX(IF((OutputTable[GroupByKey]=OutputTable[[#This Row],[GroupByKey]]),(OutputTable[GroupByKey]=OutputTable[[#This Row],[GroupByKey]])*OutputTable[RecordedValue]))</f>
        <v>6012</v>
      </c>
    </row>
    <row r="3" spans="1:16" x14ac:dyDescent="0.3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72</v>
      </c>
      <c r="G3">
        <v>5994</v>
      </c>
      <c r="H3">
        <v>0</v>
      </c>
      <c r="I3" t="str">
        <f>OutputTable[[#This Row],[ProjectName]]&amp;OutputTable[[#This Row],[Name]]&amp;OutputTable[[#This Row],[Type]]&amp;OutputTable[[#This Row],[Source]]</f>
        <v>Unnamed ProjectPart.NumberOutNumber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5989</v>
      </c>
      <c r="L3" cm="1">
        <f t="array" ref="L3">IFERROR(_xlfn.STDEV.S(IF((OutputTable[GroupByKey]=OutputTable[[#This Row],[GroupByKey]]),(OutputTable[GroupByKey]=OutputTable[[#This Row],[GroupByKey]])*OutputTable[RecordedValue])),0)</f>
        <v>14.247806848775006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17.690988817484943</v>
      </c>
      <c r="O3" cm="1">
        <f t="array" ref="O3">MIN(IF((OutputTable[GroupByKey]=OutputTable[[#This Row],[GroupByKey]]),(OutputTable[GroupByKey]=OutputTable[[#This Row],[GroupByKey]])*OutputTable[RecordedValue]))</f>
        <v>5974</v>
      </c>
      <c r="P3" cm="1">
        <f t="array" ref="P3">MAX(IF((OutputTable[GroupByKey]=OutputTable[[#This Row],[GroupByKey]]),(OutputTable[GroupByKey]=OutputTable[[#This Row],[GroupByKey]])*OutputTable[RecordedValue]))</f>
        <v>6010</v>
      </c>
    </row>
    <row r="4" spans="1:16" x14ac:dyDescent="0.3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85</v>
      </c>
      <c r="G4">
        <v>5995</v>
      </c>
      <c r="H4">
        <v>0</v>
      </c>
      <c r="I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5989.6</v>
      </c>
      <c r="L4" cm="1">
        <f t="array" ref="L4">IFERROR(_xlfn.STDEV.S(IF((OutputTable[GroupByKey]=OutputTable[[#This Row],[GroupByKey]]),(OutputTable[GroupByKey]=OutputTable[[#This Row],[GroupByKey]])*OutputTable[RecordedValue])),0)</f>
        <v>14.518953130305229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18.027661393507845</v>
      </c>
      <c r="O4" cm="1">
        <f t="array" ref="O4">MIN(IF((OutputTable[GroupByKey]=OutputTable[[#This Row],[GroupByKey]]),(OutputTable[GroupByKey]=OutputTable[[#This Row],[GroupByKey]])*OutputTable[RecordedValue]))</f>
        <v>5974</v>
      </c>
      <c r="P4" cm="1">
        <f t="array" ref="P4">MAX(IF((OutputTable[GroupByKey]=OutputTable[[#This Row],[GroupByKey]]),(OutputTable[GroupByKey]=OutputTable[[#This Row],[GroupByKey]])*OutputTable[RecordedValue]))</f>
        <v>6011</v>
      </c>
    </row>
    <row r="5" spans="1:16" x14ac:dyDescent="0.3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85</v>
      </c>
      <c r="G5">
        <v>0.70203381857888003</v>
      </c>
      <c r="H5">
        <v>0</v>
      </c>
      <c r="I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0.70058615567283034</v>
      </c>
      <c r="L5" cm="1">
        <f t="array" ref="L5">IFERROR(_xlfn.STDEV.S(IF((OutputTable[GroupByKey]=OutputTable[[#This Row],[GroupByKey]]),(OutputTable[GroupByKey]=OutputTable[[#This Row],[GroupByKey]])*OutputTable[RecordedValue])),0)</f>
        <v>2.0545725290783091E-3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2.5510887410549921E-3</v>
      </c>
      <c r="O5" cm="1">
        <f t="array" ref="O5">MIN(IF((OutputTable[GroupByKey]=OutputTable[[#This Row],[GroupByKey]]),(OutputTable[GroupByKey]=OutputTable[[#This Row],[GroupByKey]])*OutputTable[RecordedValue]))</f>
        <v>0.69765401469752297</v>
      </c>
      <c r="P5" cm="1">
        <f t="array" ref="P5">MAX(IF((OutputTable[GroupByKey]=OutputTable[[#This Row],[GroupByKey]]),(OutputTable[GroupByKey]=OutputTable[[#This Row],[GroupByKey]])*OutputTable[RecordedValue]))</f>
        <v>0.70280900871666097</v>
      </c>
    </row>
    <row r="6" spans="1:16" x14ac:dyDescent="0.3">
      <c r="A6" t="s">
        <v>66</v>
      </c>
      <c r="B6" t="s">
        <v>69</v>
      </c>
      <c r="C6">
        <v>1</v>
      </c>
      <c r="D6" t="s">
        <v>96</v>
      </c>
      <c r="E6" t="s">
        <v>91</v>
      </c>
      <c r="F6" t="s">
        <v>97</v>
      </c>
      <c r="G6">
        <v>5994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5989</v>
      </c>
      <c r="L6" cm="1">
        <f t="array" ref="L6">IFERROR(_xlfn.STDEV.S(IF((OutputTable[GroupByKey]=OutputTable[[#This Row],[GroupByKey]]),(OutputTable[GroupByKey]=OutputTable[[#This Row],[GroupByKey]])*OutputTable[RecordedValue])),0)</f>
        <v>14.247806848775006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17.690988817484943</v>
      </c>
      <c r="O6" cm="1">
        <f t="array" ref="O6">MIN(IF((OutputTable[GroupByKey]=OutputTable[[#This Row],[GroupByKey]]),(OutputTable[GroupByKey]=OutputTable[[#This Row],[GroupByKey]])*OutputTable[RecordedValue]))</f>
        <v>5974</v>
      </c>
      <c r="P6" cm="1">
        <f t="array" ref="P6">MAX(IF((OutputTable[GroupByKey]=OutputTable[[#This Row],[GroupByKey]]),(OutputTable[GroupByKey]=OutputTable[[#This Row],[GroupByKey]])*OutputTable[RecordedValue]))</f>
        <v>6010</v>
      </c>
    </row>
    <row r="7" spans="1:16" x14ac:dyDescent="0.3">
      <c r="A7" t="s">
        <v>66</v>
      </c>
      <c r="B7" t="s">
        <v>69</v>
      </c>
      <c r="C7">
        <v>2</v>
      </c>
      <c r="D7" t="s">
        <v>88</v>
      </c>
      <c r="E7" t="s">
        <v>89</v>
      </c>
      <c r="F7" t="s">
        <v>72</v>
      </c>
      <c r="G7">
        <v>5979</v>
      </c>
      <c r="H7">
        <v>0</v>
      </c>
      <c r="I7" t="str">
        <f>OutputTable[[#This Row],[ProjectName]]&amp;OutputTable[[#This Row],[Name]]&amp;OutputTable[[#This Row],[Type]]&amp;OutputTable[[#This Row],[Source]]</f>
        <v>Unnamed ProjectPart.NumberInNumber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5989.8</v>
      </c>
      <c r="L7" cm="1">
        <f t="array" ref="L7">IFERROR(_xlfn.STDEV.S(IF((OutputTable[GroupByKey]=OutputTable[[#This Row],[GroupByKey]]),(OutputTable[GroupByKey]=OutputTable[[#This Row],[GroupByKey]])*OutputTable[RecordedValue])),0)</f>
        <v>14.889593681494469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18.487872422193924</v>
      </c>
      <c r="O7" cm="1">
        <f t="array" ref="O7">MIN(IF((OutputTable[GroupByKey]=OutputTable[[#This Row],[GroupByKey]]),(OutputTable[GroupByKey]=OutputTable[[#This Row],[GroupByKey]])*OutputTable[RecordedValue]))</f>
        <v>5974</v>
      </c>
      <c r="P7" cm="1">
        <f t="array" ref="P7">MAX(IF((OutputTable[GroupByKey]=OutputTable[[#This Row],[GroupByKey]]),(OutputTable[GroupByKey]=OutputTable[[#This Row],[GroupByKey]])*OutputTable[RecordedValue]))</f>
        <v>6012</v>
      </c>
    </row>
    <row r="8" spans="1:16" x14ac:dyDescent="0.3">
      <c r="A8" t="s">
        <v>66</v>
      </c>
      <c r="B8" t="s">
        <v>69</v>
      </c>
      <c r="C8">
        <v>2</v>
      </c>
      <c r="D8" t="s">
        <v>90</v>
      </c>
      <c r="E8" t="s">
        <v>91</v>
      </c>
      <c r="F8" t="s">
        <v>72</v>
      </c>
      <c r="G8">
        <v>5978</v>
      </c>
      <c r="H8">
        <v>0</v>
      </c>
      <c r="I8" t="str">
        <f>OutputTable[[#This Row],[ProjectName]]&amp;OutputTable[[#This Row],[Name]]&amp;OutputTable[[#This Row],[Type]]&amp;OutputTable[[#This Row],[Source]]</f>
        <v>Unnamed ProjectPart.NumberOutNumber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5989</v>
      </c>
      <c r="L8" cm="1">
        <f t="array" ref="L8">IFERROR(_xlfn.STDEV.S(IF((OutputTable[GroupByKey]=OutputTable[[#This Row],[GroupByKey]]),(OutputTable[GroupByKey]=OutputTable[[#This Row],[GroupByKey]])*OutputTable[RecordedValue])),0)</f>
        <v>14.247806848775006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17.690988817484943</v>
      </c>
      <c r="O8" cm="1">
        <f t="array" ref="O8">MIN(IF((OutputTable[GroupByKey]=OutputTable[[#This Row],[GroupByKey]]),(OutputTable[GroupByKey]=OutputTable[[#This Row],[GroupByKey]])*OutputTable[RecordedValue]))</f>
        <v>5974</v>
      </c>
      <c r="P8" cm="1">
        <f t="array" ref="P8">MAX(IF((OutputTable[GroupByKey]=OutputTable[[#This Row],[GroupByKey]]),(OutputTable[GroupByKey]=OutputTable[[#This Row],[GroupByKey]])*OutputTable[RecordedValue]))</f>
        <v>6010</v>
      </c>
    </row>
    <row r="9" spans="1:16" x14ac:dyDescent="0.3">
      <c r="A9" t="s">
        <v>66</v>
      </c>
      <c r="B9" t="s">
        <v>69</v>
      </c>
      <c r="C9">
        <v>2</v>
      </c>
      <c r="D9" t="s">
        <v>92</v>
      </c>
      <c r="E9" t="s">
        <v>93</v>
      </c>
      <c r="F9" t="s">
        <v>85</v>
      </c>
      <c r="G9">
        <v>5979</v>
      </c>
      <c r="H9">
        <v>0</v>
      </c>
      <c r="I9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5989.6</v>
      </c>
      <c r="L9" cm="1">
        <f t="array" ref="L9">IFERROR(_xlfn.STDEV.S(IF((OutputTable[GroupByKey]=OutputTable[[#This Row],[GroupByKey]]),(OutputTable[GroupByKey]=OutputTable[[#This Row],[GroupByKey]])*OutputTable[RecordedValue])),0)</f>
        <v>14.518953130305229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18.027661393507845</v>
      </c>
      <c r="O9" cm="1">
        <f t="array" ref="O9">MIN(IF((OutputTable[GroupByKey]=OutputTable[[#This Row],[GroupByKey]]),(OutputTable[GroupByKey]=OutputTable[[#This Row],[GroupByKey]])*OutputTable[RecordedValue]))</f>
        <v>5974</v>
      </c>
      <c r="P9" cm="1">
        <f t="array" ref="P9">MAX(IF((OutputTable[GroupByKey]=OutputTable[[#This Row],[GroupByKey]]),(OutputTable[GroupByKey]=OutputTable[[#This Row],[GroupByKey]])*OutputTable[RecordedValue]))</f>
        <v>6011</v>
      </c>
    </row>
    <row r="10" spans="1:16" x14ac:dyDescent="0.3">
      <c r="A10" t="s">
        <v>66</v>
      </c>
      <c r="B10" t="s">
        <v>69</v>
      </c>
      <c r="C10">
        <v>2</v>
      </c>
      <c r="D10" t="s">
        <v>94</v>
      </c>
      <c r="E10" t="s">
        <v>95</v>
      </c>
      <c r="F10" t="s">
        <v>85</v>
      </c>
      <c r="G10">
        <v>0.70091633220532901</v>
      </c>
      <c r="H10">
        <v>0</v>
      </c>
      <c r="I10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0.70058615567283034</v>
      </c>
      <c r="L10" cm="1">
        <f t="array" ref="L10">IFERROR(_xlfn.STDEV.S(IF((OutputTable[GroupByKey]=OutputTable[[#This Row],[GroupByKey]]),(OutputTable[GroupByKey]=OutputTable[[#This Row],[GroupByKey]])*OutputTable[RecordedValue])),0)</f>
        <v>2.0545725290783091E-3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2.5510887410549921E-3</v>
      </c>
      <c r="O10" cm="1">
        <f t="array" ref="O10">MIN(IF((OutputTable[GroupByKey]=OutputTable[[#This Row],[GroupByKey]]),(OutputTable[GroupByKey]=OutputTable[[#This Row],[GroupByKey]])*OutputTable[RecordedValue]))</f>
        <v>0.69765401469752297</v>
      </c>
      <c r="P10" cm="1">
        <f t="array" ref="P10">MAX(IF((OutputTable[GroupByKey]=OutputTable[[#This Row],[GroupByKey]]),(OutputTable[GroupByKey]=OutputTable[[#This Row],[GroupByKey]])*OutputTable[RecordedValue]))</f>
        <v>0.70280900871666097</v>
      </c>
    </row>
    <row r="11" spans="1:16" x14ac:dyDescent="0.3">
      <c r="A11" t="s">
        <v>66</v>
      </c>
      <c r="B11" t="s">
        <v>69</v>
      </c>
      <c r="C11">
        <v>2</v>
      </c>
      <c r="D11" t="s">
        <v>96</v>
      </c>
      <c r="E11" t="s">
        <v>91</v>
      </c>
      <c r="F11" t="s">
        <v>97</v>
      </c>
      <c r="G11">
        <v>5978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5989</v>
      </c>
      <c r="L11" cm="1">
        <f t="array" ref="L11">IFERROR(_xlfn.STDEV.S(IF((OutputTable[GroupByKey]=OutputTable[[#This Row],[GroupByKey]]),(OutputTable[GroupByKey]=OutputTable[[#This Row],[GroupByKey]])*OutputTable[RecordedValue])),0)</f>
        <v>14.247806848775006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17.690988817484943</v>
      </c>
      <c r="O11" cm="1">
        <f t="array" ref="O11">MIN(IF((OutputTable[GroupByKey]=OutputTable[[#This Row],[GroupByKey]]),(OutputTable[GroupByKey]=OutputTable[[#This Row],[GroupByKey]])*OutputTable[RecordedValue]))</f>
        <v>5974</v>
      </c>
      <c r="P11" cm="1">
        <f t="array" ref="P11">MAX(IF((OutputTable[GroupByKey]=OutputTable[[#This Row],[GroupByKey]]),(OutputTable[GroupByKey]=OutputTable[[#This Row],[GroupByKey]])*OutputTable[RecordedValue]))</f>
        <v>6010</v>
      </c>
    </row>
    <row r="12" spans="1:16" x14ac:dyDescent="0.3">
      <c r="A12" t="s">
        <v>66</v>
      </c>
      <c r="B12" t="s">
        <v>69</v>
      </c>
      <c r="C12">
        <v>3</v>
      </c>
      <c r="D12" t="s">
        <v>88</v>
      </c>
      <c r="E12" t="s">
        <v>89</v>
      </c>
      <c r="F12" t="s">
        <v>72</v>
      </c>
      <c r="G12">
        <v>6012</v>
      </c>
      <c r="H12">
        <v>0</v>
      </c>
      <c r="I12" t="str">
        <f>OutputTable[[#This Row],[ProjectName]]&amp;OutputTable[[#This Row],[Name]]&amp;OutputTable[[#This Row],[Type]]&amp;OutputTable[[#This Row],[Source]]</f>
        <v>Unnamed ProjectPart.NumberInNumber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5989.8</v>
      </c>
      <c r="L12" cm="1">
        <f t="array" ref="L12">IFERROR(_xlfn.STDEV.S(IF((OutputTable[GroupByKey]=OutputTable[[#This Row],[GroupByKey]]),(OutputTable[GroupByKey]=OutputTable[[#This Row],[GroupByKey]])*OutputTable[RecordedValue])),0)</f>
        <v>14.889593681494469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18.487872422193924</v>
      </c>
      <c r="O12" cm="1">
        <f t="array" ref="O12">MIN(IF((OutputTable[GroupByKey]=OutputTable[[#This Row],[GroupByKey]]),(OutputTable[GroupByKey]=OutputTable[[#This Row],[GroupByKey]])*OutputTable[RecordedValue]))</f>
        <v>5974</v>
      </c>
      <c r="P12" cm="1">
        <f t="array" ref="P12">MAX(IF((OutputTable[GroupByKey]=OutputTable[[#This Row],[GroupByKey]]),(OutputTable[GroupByKey]=OutputTable[[#This Row],[GroupByKey]])*OutputTable[RecordedValue]))</f>
        <v>6012</v>
      </c>
    </row>
    <row r="13" spans="1:16" x14ac:dyDescent="0.3">
      <c r="A13" t="s">
        <v>66</v>
      </c>
      <c r="B13" t="s">
        <v>69</v>
      </c>
      <c r="C13">
        <v>3</v>
      </c>
      <c r="D13" t="s">
        <v>90</v>
      </c>
      <c r="E13" t="s">
        <v>91</v>
      </c>
      <c r="F13" t="s">
        <v>72</v>
      </c>
      <c r="G13">
        <v>6010</v>
      </c>
      <c r="H13">
        <v>0</v>
      </c>
      <c r="I13" t="str">
        <f>OutputTable[[#This Row],[ProjectName]]&amp;OutputTable[[#This Row],[Name]]&amp;OutputTable[[#This Row],[Type]]&amp;OutputTable[[#This Row],[Source]]</f>
        <v>Unnamed ProjectPart.NumberOutNumber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5989</v>
      </c>
      <c r="L13" cm="1">
        <f t="array" ref="L13">IFERROR(_xlfn.STDEV.S(IF((OutputTable[GroupByKey]=OutputTable[[#This Row],[GroupByKey]]),(OutputTable[GroupByKey]=OutputTable[[#This Row],[GroupByKey]])*OutputTable[RecordedValue])),0)</f>
        <v>14.247806848775006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17.690988817484943</v>
      </c>
      <c r="O13" cm="1">
        <f t="array" ref="O13">MIN(IF((OutputTable[GroupByKey]=OutputTable[[#This Row],[GroupByKey]]),(OutputTable[GroupByKey]=OutputTable[[#This Row],[GroupByKey]])*OutputTable[RecordedValue]))</f>
        <v>5974</v>
      </c>
      <c r="P13" cm="1">
        <f t="array" ref="P13">MAX(IF((OutputTable[GroupByKey]=OutputTable[[#This Row],[GroupByKey]]),(OutputTable[GroupByKey]=OutputTable[[#This Row],[GroupByKey]])*OutputTable[RecordedValue]))</f>
        <v>6010</v>
      </c>
    </row>
    <row r="14" spans="1:16" x14ac:dyDescent="0.3">
      <c r="A14" t="s">
        <v>66</v>
      </c>
      <c r="B14" t="s">
        <v>69</v>
      </c>
      <c r="C14">
        <v>3</v>
      </c>
      <c r="D14" t="s">
        <v>92</v>
      </c>
      <c r="E14" t="s">
        <v>93</v>
      </c>
      <c r="F14" t="s">
        <v>85</v>
      </c>
      <c r="G14">
        <v>6011</v>
      </c>
      <c r="H14">
        <v>0</v>
      </c>
      <c r="I1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5989.6</v>
      </c>
      <c r="L14" cm="1">
        <f t="array" ref="L14">IFERROR(_xlfn.STDEV.S(IF((OutputTable[GroupByKey]=OutputTable[[#This Row],[GroupByKey]]),(OutputTable[GroupByKey]=OutputTable[[#This Row],[GroupByKey]])*OutputTable[RecordedValue])),0)</f>
        <v>14.518953130305229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18.027661393507845</v>
      </c>
      <c r="O14" cm="1">
        <f t="array" ref="O14">MIN(IF((OutputTable[GroupByKey]=OutputTable[[#This Row],[GroupByKey]]),(OutputTable[GroupByKey]=OutputTable[[#This Row],[GroupByKey]])*OutputTable[RecordedValue]))</f>
        <v>5974</v>
      </c>
      <c r="P14" cm="1">
        <f t="array" ref="P14">MAX(IF((OutputTable[GroupByKey]=OutputTable[[#This Row],[GroupByKey]]),(OutputTable[GroupByKey]=OutputTable[[#This Row],[GroupByKey]])*OutputTable[RecordedValue]))</f>
        <v>6011</v>
      </c>
    </row>
    <row r="15" spans="1:16" x14ac:dyDescent="0.3">
      <c r="A15" t="s">
        <v>66</v>
      </c>
      <c r="B15" t="s">
        <v>69</v>
      </c>
      <c r="C15">
        <v>3</v>
      </c>
      <c r="D15" t="s">
        <v>94</v>
      </c>
      <c r="E15" t="s">
        <v>95</v>
      </c>
      <c r="F15" t="s">
        <v>85</v>
      </c>
      <c r="G15">
        <v>0.69951760416575903</v>
      </c>
      <c r="H15">
        <v>0</v>
      </c>
      <c r="I1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0.70058615567283034</v>
      </c>
      <c r="L15" cm="1">
        <f t="array" ref="L15">IFERROR(_xlfn.STDEV.S(IF((OutputTable[GroupByKey]=OutputTable[[#This Row],[GroupByKey]]),(OutputTable[GroupByKey]=OutputTable[[#This Row],[GroupByKey]])*OutputTable[RecordedValue])),0)</f>
        <v>2.0545725290783091E-3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2.5510887410549921E-3</v>
      </c>
      <c r="O15" cm="1">
        <f t="array" ref="O15">MIN(IF((OutputTable[GroupByKey]=OutputTable[[#This Row],[GroupByKey]]),(OutputTable[GroupByKey]=OutputTable[[#This Row],[GroupByKey]])*OutputTable[RecordedValue]))</f>
        <v>0.69765401469752297</v>
      </c>
      <c r="P15" cm="1">
        <f t="array" ref="P15">MAX(IF((OutputTable[GroupByKey]=OutputTable[[#This Row],[GroupByKey]]),(OutputTable[GroupByKey]=OutputTable[[#This Row],[GroupByKey]])*OutputTable[RecordedValue]))</f>
        <v>0.70280900871666097</v>
      </c>
    </row>
    <row r="16" spans="1:16" x14ac:dyDescent="0.3">
      <c r="A16" t="s">
        <v>66</v>
      </c>
      <c r="B16" t="s">
        <v>69</v>
      </c>
      <c r="C16">
        <v>3</v>
      </c>
      <c r="D16" t="s">
        <v>96</v>
      </c>
      <c r="E16" t="s">
        <v>91</v>
      </c>
      <c r="F16" t="s">
        <v>97</v>
      </c>
      <c r="G16">
        <v>6010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5989</v>
      </c>
      <c r="L16" cm="1">
        <f t="array" ref="L16">IFERROR(_xlfn.STDEV.S(IF((OutputTable[GroupByKey]=OutputTable[[#This Row],[GroupByKey]]),(OutputTable[GroupByKey]=OutputTable[[#This Row],[GroupByKey]])*OutputTable[RecordedValue])),0)</f>
        <v>14.247806848775006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17.690988817484943</v>
      </c>
      <c r="O16" cm="1">
        <f t="array" ref="O16">MIN(IF((OutputTable[GroupByKey]=OutputTable[[#This Row],[GroupByKey]]),(OutputTable[GroupByKey]=OutputTable[[#This Row],[GroupByKey]])*OutputTable[RecordedValue]))</f>
        <v>5974</v>
      </c>
      <c r="P16" cm="1">
        <f t="array" ref="P16">MAX(IF((OutputTable[GroupByKey]=OutputTable[[#This Row],[GroupByKey]]),(OutputTable[GroupByKey]=OutputTable[[#This Row],[GroupByKey]])*OutputTable[RecordedValue]))</f>
        <v>6010</v>
      </c>
    </row>
    <row r="17" spans="1:16" x14ac:dyDescent="0.3">
      <c r="A17" t="s">
        <v>66</v>
      </c>
      <c r="B17" t="s">
        <v>69</v>
      </c>
      <c r="C17">
        <v>4</v>
      </c>
      <c r="D17" t="s">
        <v>88</v>
      </c>
      <c r="E17" t="s">
        <v>89</v>
      </c>
      <c r="F17" t="s">
        <v>72</v>
      </c>
      <c r="G17">
        <v>5974</v>
      </c>
      <c r="H17">
        <v>0</v>
      </c>
      <c r="I17" t="str">
        <f>OutputTable[[#This Row],[ProjectName]]&amp;OutputTable[[#This Row],[Name]]&amp;OutputTable[[#This Row],[Type]]&amp;OutputTable[[#This Row],[Source]]</f>
        <v>Unnamed ProjectPart.NumberInNumber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5989.8</v>
      </c>
      <c r="L17" cm="1">
        <f t="array" ref="L17">IFERROR(_xlfn.STDEV.S(IF((OutputTable[GroupByKey]=OutputTable[[#This Row],[GroupByKey]]),(OutputTable[GroupByKey]=OutputTable[[#This Row],[GroupByKey]])*OutputTable[RecordedValue])),0)</f>
        <v>14.889593681494469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18.487872422193924</v>
      </c>
      <c r="O17" cm="1">
        <f t="array" ref="O17">MIN(IF((OutputTable[GroupByKey]=OutputTable[[#This Row],[GroupByKey]]),(OutputTable[GroupByKey]=OutputTable[[#This Row],[GroupByKey]])*OutputTable[RecordedValue]))</f>
        <v>5974</v>
      </c>
      <c r="P17" cm="1">
        <f t="array" ref="P17">MAX(IF((OutputTable[GroupByKey]=OutputTable[[#This Row],[GroupByKey]]),(OutputTable[GroupByKey]=OutputTable[[#This Row],[GroupByKey]])*OutputTable[RecordedValue]))</f>
        <v>6012</v>
      </c>
    </row>
    <row r="18" spans="1:16" x14ac:dyDescent="0.3">
      <c r="A18" t="s">
        <v>66</v>
      </c>
      <c r="B18" t="s">
        <v>69</v>
      </c>
      <c r="C18">
        <v>4</v>
      </c>
      <c r="D18" t="s">
        <v>90</v>
      </c>
      <c r="E18" t="s">
        <v>91</v>
      </c>
      <c r="F18" t="s">
        <v>72</v>
      </c>
      <c r="G18">
        <v>5974</v>
      </c>
      <c r="H18">
        <v>0</v>
      </c>
      <c r="I18" t="str">
        <f>OutputTable[[#This Row],[ProjectName]]&amp;OutputTable[[#This Row],[Name]]&amp;OutputTable[[#This Row],[Type]]&amp;OutputTable[[#This Row],[Source]]</f>
        <v>Unnamed ProjectPart.NumberOutNumber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5989</v>
      </c>
      <c r="L18" cm="1">
        <f t="array" ref="L18">IFERROR(_xlfn.STDEV.S(IF((OutputTable[GroupByKey]=OutputTable[[#This Row],[GroupByKey]]),(OutputTable[GroupByKey]=OutputTable[[#This Row],[GroupByKey]])*OutputTable[RecordedValue])),0)</f>
        <v>14.247806848775006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17.690988817484943</v>
      </c>
      <c r="O18" cm="1">
        <f t="array" ref="O18">MIN(IF((OutputTable[GroupByKey]=OutputTable[[#This Row],[GroupByKey]]),(OutputTable[GroupByKey]=OutputTable[[#This Row],[GroupByKey]])*OutputTable[RecordedValue]))</f>
        <v>5974</v>
      </c>
      <c r="P18" cm="1">
        <f t="array" ref="P18">MAX(IF((OutputTable[GroupByKey]=OutputTable[[#This Row],[GroupByKey]]),(OutputTable[GroupByKey]=OutputTable[[#This Row],[GroupByKey]])*OutputTable[RecordedValue]))</f>
        <v>6010</v>
      </c>
    </row>
    <row r="19" spans="1:16" x14ac:dyDescent="0.3">
      <c r="A19" t="s">
        <v>66</v>
      </c>
      <c r="B19" t="s">
        <v>69</v>
      </c>
      <c r="C19">
        <v>4</v>
      </c>
      <c r="D19" t="s">
        <v>92</v>
      </c>
      <c r="E19" t="s">
        <v>93</v>
      </c>
      <c r="F19" t="s">
        <v>85</v>
      </c>
      <c r="G19">
        <v>5974</v>
      </c>
      <c r="H19">
        <v>0</v>
      </c>
      <c r="I19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5989.6</v>
      </c>
      <c r="L19" cm="1">
        <f t="array" ref="L19">IFERROR(_xlfn.STDEV.S(IF((OutputTable[GroupByKey]=OutputTable[[#This Row],[GroupByKey]]),(OutputTable[GroupByKey]=OutputTable[[#This Row],[GroupByKey]])*OutputTable[RecordedValue])),0)</f>
        <v>14.518953130305229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18.027661393507845</v>
      </c>
      <c r="O19" cm="1">
        <f t="array" ref="O19">MIN(IF((OutputTable[GroupByKey]=OutputTable[[#This Row],[GroupByKey]]),(OutputTable[GroupByKey]=OutputTable[[#This Row],[GroupByKey]])*OutputTable[RecordedValue]))</f>
        <v>5974</v>
      </c>
      <c r="P19" cm="1">
        <f t="array" ref="P19">MAX(IF((OutputTable[GroupByKey]=OutputTable[[#This Row],[GroupByKey]]),(OutputTable[GroupByKey]=OutputTable[[#This Row],[GroupByKey]])*OutputTable[RecordedValue]))</f>
        <v>6011</v>
      </c>
    </row>
    <row r="20" spans="1:16" x14ac:dyDescent="0.3">
      <c r="A20" t="s">
        <v>66</v>
      </c>
      <c r="B20" t="s">
        <v>69</v>
      </c>
      <c r="C20">
        <v>4</v>
      </c>
      <c r="D20" t="s">
        <v>94</v>
      </c>
      <c r="E20" t="s">
        <v>95</v>
      </c>
      <c r="F20" t="s">
        <v>85</v>
      </c>
      <c r="G20">
        <v>0.70280900871666097</v>
      </c>
      <c r="H20">
        <v>0</v>
      </c>
      <c r="I20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0.70058615567283034</v>
      </c>
      <c r="L20" cm="1">
        <f t="array" ref="L20">IFERROR(_xlfn.STDEV.S(IF((OutputTable[GroupByKey]=OutputTable[[#This Row],[GroupByKey]]),(OutputTable[GroupByKey]=OutputTable[[#This Row],[GroupByKey]])*OutputTable[RecordedValue])),0)</f>
        <v>2.0545725290783091E-3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2.5510887410549921E-3</v>
      </c>
      <c r="O20" cm="1">
        <f t="array" ref="O20">MIN(IF((OutputTable[GroupByKey]=OutputTable[[#This Row],[GroupByKey]]),(OutputTable[GroupByKey]=OutputTable[[#This Row],[GroupByKey]])*OutputTable[RecordedValue]))</f>
        <v>0.69765401469752297</v>
      </c>
      <c r="P20" cm="1">
        <f t="array" ref="P20">MAX(IF((OutputTable[GroupByKey]=OutputTable[[#This Row],[GroupByKey]]),(OutputTable[GroupByKey]=OutputTable[[#This Row],[GroupByKey]])*OutputTable[RecordedValue]))</f>
        <v>0.70280900871666097</v>
      </c>
    </row>
    <row r="21" spans="1:16" x14ac:dyDescent="0.3">
      <c r="A21" t="s">
        <v>66</v>
      </c>
      <c r="B21" t="s">
        <v>69</v>
      </c>
      <c r="C21">
        <v>4</v>
      </c>
      <c r="D21" t="s">
        <v>96</v>
      </c>
      <c r="E21" t="s">
        <v>91</v>
      </c>
      <c r="F21" t="s">
        <v>97</v>
      </c>
      <c r="G21">
        <v>5974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5989</v>
      </c>
      <c r="L21" cm="1">
        <f t="array" ref="L21">IFERROR(_xlfn.STDEV.S(IF((OutputTable[GroupByKey]=OutputTable[[#This Row],[GroupByKey]]),(OutputTable[GroupByKey]=OutputTable[[#This Row],[GroupByKey]])*OutputTable[RecordedValue])),0)</f>
        <v>14.247806848775006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17.690988817484943</v>
      </c>
      <c r="O21" cm="1">
        <f t="array" ref="O21">MIN(IF((OutputTable[GroupByKey]=OutputTable[[#This Row],[GroupByKey]]),(OutputTable[GroupByKey]=OutputTable[[#This Row],[GroupByKey]])*OutputTable[RecordedValue]))</f>
        <v>5974</v>
      </c>
      <c r="P21" cm="1">
        <f t="array" ref="P21">MAX(IF((OutputTable[GroupByKey]=OutputTable[[#This Row],[GroupByKey]]),(OutputTable[GroupByKey]=OutputTable[[#This Row],[GroupByKey]])*OutputTable[RecordedValue]))</f>
        <v>6010</v>
      </c>
    </row>
    <row r="22" spans="1:16" x14ac:dyDescent="0.3">
      <c r="A22" t="s">
        <v>66</v>
      </c>
      <c r="B22" t="s">
        <v>69</v>
      </c>
      <c r="C22">
        <v>5</v>
      </c>
      <c r="D22" t="s">
        <v>88</v>
      </c>
      <c r="E22" t="s">
        <v>89</v>
      </c>
      <c r="F22" t="s">
        <v>72</v>
      </c>
      <c r="G22">
        <v>5989</v>
      </c>
      <c r="H22">
        <v>0</v>
      </c>
      <c r="I22" t="str">
        <f>OutputTable[[#This Row],[ProjectName]]&amp;OutputTable[[#This Row],[Name]]&amp;OutputTable[[#This Row],[Type]]&amp;OutputTable[[#This Row],[Source]]</f>
        <v>Unnamed ProjectPart.NumberInNumber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5989.8</v>
      </c>
      <c r="L22" cm="1">
        <f t="array" ref="L22">IFERROR(_xlfn.STDEV.S(IF((OutputTable[GroupByKey]=OutputTable[[#This Row],[GroupByKey]]),(OutputTable[GroupByKey]=OutputTable[[#This Row],[GroupByKey]])*OutputTable[RecordedValue])),0)</f>
        <v>14.889593681494469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18.487872422193924</v>
      </c>
      <c r="O22" cm="1">
        <f t="array" ref="O22">MIN(IF((OutputTable[GroupByKey]=OutputTable[[#This Row],[GroupByKey]]),(OutputTable[GroupByKey]=OutputTable[[#This Row],[GroupByKey]])*OutputTable[RecordedValue]))</f>
        <v>5974</v>
      </c>
      <c r="P22" cm="1">
        <f t="array" ref="P22">MAX(IF((OutputTable[GroupByKey]=OutputTable[[#This Row],[GroupByKey]]),(OutputTable[GroupByKey]=OutputTable[[#This Row],[GroupByKey]])*OutputTable[RecordedValue]))</f>
        <v>6012</v>
      </c>
    </row>
    <row r="23" spans="1:16" x14ac:dyDescent="0.3">
      <c r="A23" t="s">
        <v>66</v>
      </c>
      <c r="B23" t="s">
        <v>69</v>
      </c>
      <c r="C23">
        <v>5</v>
      </c>
      <c r="D23" t="s">
        <v>90</v>
      </c>
      <c r="E23" t="s">
        <v>91</v>
      </c>
      <c r="F23" t="s">
        <v>72</v>
      </c>
      <c r="G23">
        <v>5989</v>
      </c>
      <c r="H23">
        <v>0</v>
      </c>
      <c r="I23" t="str">
        <f>OutputTable[[#This Row],[ProjectName]]&amp;OutputTable[[#This Row],[Name]]&amp;OutputTable[[#This Row],[Type]]&amp;OutputTable[[#This Row],[Source]]</f>
        <v>Unnamed ProjectPart.NumberOutNumber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5989</v>
      </c>
      <c r="L23" cm="1">
        <f t="array" ref="L23">IFERROR(_xlfn.STDEV.S(IF((OutputTable[GroupByKey]=OutputTable[[#This Row],[GroupByKey]]),(OutputTable[GroupByKey]=OutputTable[[#This Row],[GroupByKey]])*OutputTable[RecordedValue])),0)</f>
        <v>14.247806848775006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17.690988817484943</v>
      </c>
      <c r="O23" cm="1">
        <f t="array" ref="O23">MIN(IF((OutputTable[GroupByKey]=OutputTable[[#This Row],[GroupByKey]]),(OutputTable[GroupByKey]=OutputTable[[#This Row],[GroupByKey]])*OutputTable[RecordedValue]))</f>
        <v>5974</v>
      </c>
      <c r="P23" cm="1">
        <f t="array" ref="P23">MAX(IF((OutputTable[GroupByKey]=OutputTable[[#This Row],[GroupByKey]]),(OutputTable[GroupByKey]=OutputTable[[#This Row],[GroupByKey]])*OutputTable[RecordedValue]))</f>
        <v>6010</v>
      </c>
    </row>
    <row r="24" spans="1:16" x14ac:dyDescent="0.3">
      <c r="A24" t="s">
        <v>66</v>
      </c>
      <c r="B24" t="s">
        <v>69</v>
      </c>
      <c r="C24">
        <v>5</v>
      </c>
      <c r="D24" t="s">
        <v>92</v>
      </c>
      <c r="E24" t="s">
        <v>93</v>
      </c>
      <c r="F24" t="s">
        <v>85</v>
      </c>
      <c r="G24">
        <v>5989</v>
      </c>
      <c r="H24">
        <v>0</v>
      </c>
      <c r="I2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5989.6</v>
      </c>
      <c r="L24" cm="1">
        <f t="array" ref="L24">IFERROR(_xlfn.STDEV.S(IF((OutputTable[GroupByKey]=OutputTable[[#This Row],[GroupByKey]]),(OutputTable[GroupByKey]=OutputTable[[#This Row],[GroupByKey]])*OutputTable[RecordedValue])),0)</f>
        <v>14.518953130305229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18.027661393507845</v>
      </c>
      <c r="O24" cm="1">
        <f t="array" ref="O24">MIN(IF((OutputTable[GroupByKey]=OutputTable[[#This Row],[GroupByKey]]),(OutputTable[GroupByKey]=OutputTable[[#This Row],[GroupByKey]])*OutputTable[RecordedValue]))</f>
        <v>5974</v>
      </c>
      <c r="P24" cm="1">
        <f t="array" ref="P24">MAX(IF((OutputTable[GroupByKey]=OutputTable[[#This Row],[GroupByKey]]),(OutputTable[GroupByKey]=OutputTable[[#This Row],[GroupByKey]])*OutputTable[RecordedValue]))</f>
        <v>6011</v>
      </c>
    </row>
    <row r="25" spans="1:16" x14ac:dyDescent="0.3">
      <c r="A25" t="s">
        <v>66</v>
      </c>
      <c r="B25" t="s">
        <v>69</v>
      </c>
      <c r="C25">
        <v>5</v>
      </c>
      <c r="D25" t="s">
        <v>94</v>
      </c>
      <c r="E25" t="s">
        <v>95</v>
      </c>
      <c r="F25" t="s">
        <v>85</v>
      </c>
      <c r="G25">
        <v>0.69765401469752297</v>
      </c>
      <c r="H25">
        <v>0</v>
      </c>
      <c r="I2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0.70058615567283034</v>
      </c>
      <c r="L25" cm="1">
        <f t="array" ref="L25">IFERROR(_xlfn.STDEV.S(IF((OutputTable[GroupByKey]=OutputTable[[#This Row],[GroupByKey]]),(OutputTable[GroupByKey]=OutputTable[[#This Row],[GroupByKey]])*OutputTable[RecordedValue])),0)</f>
        <v>2.0545725290783091E-3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2.5510887410549921E-3</v>
      </c>
      <c r="O25" cm="1">
        <f t="array" ref="O25">MIN(IF((OutputTable[GroupByKey]=OutputTable[[#This Row],[GroupByKey]]),(OutputTable[GroupByKey]=OutputTable[[#This Row],[GroupByKey]])*OutputTable[RecordedValue]))</f>
        <v>0.69765401469752297</v>
      </c>
      <c r="P25" cm="1">
        <f t="array" ref="P25">MAX(IF((OutputTable[GroupByKey]=OutputTable[[#This Row],[GroupByKey]]),(OutputTable[GroupByKey]=OutputTable[[#This Row],[GroupByKey]])*OutputTable[RecordedValue]))</f>
        <v>0.70280900871666097</v>
      </c>
    </row>
    <row r="26" spans="1:16" x14ac:dyDescent="0.3">
      <c r="A26" t="s">
        <v>66</v>
      </c>
      <c r="B26" t="s">
        <v>69</v>
      </c>
      <c r="C26">
        <v>5</v>
      </c>
      <c r="D26" t="s">
        <v>96</v>
      </c>
      <c r="E26" t="s">
        <v>91</v>
      </c>
      <c r="F26" t="s">
        <v>97</v>
      </c>
      <c r="G26">
        <v>5989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5989</v>
      </c>
      <c r="L26" cm="1">
        <f t="array" ref="L26">IFERROR(_xlfn.STDEV.S(IF((OutputTable[GroupByKey]=OutputTable[[#This Row],[GroupByKey]]),(OutputTable[GroupByKey]=OutputTable[[#This Row],[GroupByKey]])*OutputTable[RecordedValue])),0)</f>
        <v>14.247806848775006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17.690988817484943</v>
      </c>
      <c r="O26" cm="1">
        <f t="array" ref="O26">MIN(IF((OutputTable[GroupByKey]=OutputTable[[#This Row],[GroupByKey]]),(OutputTable[GroupByKey]=OutputTable[[#This Row],[GroupByKey]])*OutputTable[RecordedValue]))</f>
        <v>5974</v>
      </c>
      <c r="P26" cm="1">
        <f t="array" ref="P26">MAX(IF((OutputTable[GroupByKey]=OutputTable[[#This Row],[GroupByKey]]),(OutputTable[GroupByKey]=OutputTable[[#This Row],[GroupByKey]])*OutputTable[RecordedValue]))</f>
        <v>6010</v>
      </c>
    </row>
    <row r="27" spans="1:16" x14ac:dyDescent="0.3"/>
    <row r="28" spans="1:16" x14ac:dyDescent="0.3"/>
    <row r="29" spans="1:16" x14ac:dyDescent="0.3"/>
    <row r="30" spans="1:16" x14ac:dyDescent="0.3"/>
    <row r="31" spans="1:16" x14ac:dyDescent="0.3"/>
  </sheetData>
  <phoneticPr fontId="2" type="noConversion"/>
  <conditionalFormatting sqref="I2:P26">
    <cfRule type="expression" dxfId="3" priority="2">
      <formula>MOD(ROW(),2)=0</formula>
    </cfRule>
  </conditionalFormatting>
  <conditionalFormatting sqref="N2:N2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/>
    <row r="3" spans="1:17" x14ac:dyDescent="0.3"/>
    <row r="4" spans="1:17" x14ac:dyDescent="0.3"/>
    <row r="5" spans="1:17" x14ac:dyDescent="0.3"/>
    <row r="6" spans="1:17" x14ac:dyDescent="0.3"/>
    <row r="7" spans="1:17" x14ac:dyDescent="0.3"/>
    <row r="8" spans="1:17" x14ac:dyDescent="0.3"/>
    <row r="9" spans="1:17" x14ac:dyDescent="0.3"/>
    <row r="10" spans="1:17" x14ac:dyDescent="0.3"/>
    <row r="11" spans="1:17" x14ac:dyDescent="0.3"/>
    <row r="12" spans="1:17" x14ac:dyDescent="0.3"/>
    <row r="13" spans="1:17" x14ac:dyDescent="0.3"/>
    <row r="14" spans="1:17" x14ac:dyDescent="0.3"/>
    <row r="15" spans="1:17" x14ac:dyDescent="0.3"/>
    <row r="16" spans="1:17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32" spans="2: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2025-04-28T08:10:07Z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