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E:\programming\Data-Science\model\production\Arena\Ex1\"/>
    </mc:Choice>
  </mc:AlternateContent>
  <xr:revisionPtr revIDLastSave="0" documentId="13_ncr:1_{7BF8A442-2AB0-415E-8F86-E8A3A64C070C}" xr6:coauthVersionLast="47" xr6:coauthVersionMax="47" xr10:uidLastSave="{00000000-0000-0000-0000-000000000000}"/>
  <bookViews>
    <workbookView xWindow="1860" yWindow="1860" windowWidth="19200" windowHeight="11170" tabRatio="790" activeTab="1" xr2:uid="{12F16E13-A52E-4BEC-B749-CDB403EAFF41}"/>
  </bookViews>
  <sheets>
    <sheet name="ProjectInformation" sheetId="16" r:id="rId1"/>
    <sheet name="AcrossReplicationsSummary" sheetId="22" r:id="rId2"/>
    <sheet name="DiscreteTimeStatsByRep" sheetId="17" r:id="rId3"/>
    <sheet name="ContinuousTimeStatsByRep" sheetId="18" r:id="rId4"/>
    <sheet name="CounterStatsByRep" sheetId="19" r:id="rId5"/>
    <sheet name="OutputStatsByRep" sheetId="20" r:id="rId6"/>
    <sheet name="FrequencyStatsByRep" sheetId="23" r:id="rId7"/>
  </sheets>
  <definedNames>
    <definedName name="ContinuousTimeStatsPivot">#REF!</definedName>
    <definedName name="CounterStatsPivot">#REF!</definedName>
    <definedName name="DiscreteTimeStatsPivot">#REF!</definedName>
    <definedName name="ExternalData_1" localSheetId="3" hidden="1">ContinuousTimeStatsByRep!$A$1:$L$6</definedName>
    <definedName name="ExternalData_1" localSheetId="4" hidden="1">CounterStatsByRep!$A$1:$G$2</definedName>
    <definedName name="ExternalData_1" localSheetId="2" hidden="1">DiscreteTimeStatsByRep!$A$1:$K$31</definedName>
    <definedName name="ExternalData_1" localSheetId="6" hidden="1">FrequencyStatsByRep!$A$1:$K$2</definedName>
    <definedName name="ExternalData_1" localSheetId="5" hidden="1">OutputStatsByRep!$A$1:$H$16</definedName>
    <definedName name="ExternalData_1" localSheetId="0" hidden="1">ProjectInformation!$A$1:$F$2</definedName>
    <definedName name="FrequencyStatsPivot">#REF!</definedName>
    <definedName name="OutputStatsPivot">#REF!</definedName>
  </definedNames>
  <calcPr calcId="191029"/>
  <pivotCaches>
    <pivotCache cacheId="46" r:id="rId8"/>
    <pivotCache cacheId="53" r:id="rId9"/>
    <pivotCache cacheId="60" r:id="rId10"/>
    <pivotCache cacheId="67" r:id="rId11"/>
    <pivotCache cacheId="74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2" i="20" l="1"/>
  <c r="I3" i="20"/>
  <c r="I4" i="20"/>
  <c r="K2" i="20" s="1" a="1"/>
  <c r="K2" i="20" s="1"/>
  <c r="I5" i="20"/>
  <c r="I6" i="20"/>
  <c r="I7" i="20"/>
  <c r="I8" i="20"/>
  <c r="I9" i="20"/>
  <c r="I10" i="20"/>
  <c r="I11" i="20"/>
  <c r="L4" i="20" s="1" a="1"/>
  <c r="L4" i="20" s="1"/>
  <c r="I12" i="20"/>
  <c r="I13" i="20"/>
  <c r="I14" i="20"/>
  <c r="I15" i="20"/>
  <c r="I16" i="20"/>
  <c r="P16" i="20" s="1" a="1"/>
  <c r="P16" i="20" s="1"/>
  <c r="J2" i="20" a="1"/>
  <c r="J2" i="20" s="1"/>
  <c r="J3" i="20" a="1"/>
  <c r="J3" i="20" s="1"/>
  <c r="J4" i="20" a="1"/>
  <c r="J4" i="20"/>
  <c r="J5" i="20" a="1"/>
  <c r="J5" i="20" s="1"/>
  <c r="J6" i="20" a="1"/>
  <c r="J6" i="20"/>
  <c r="J7" i="20" a="1"/>
  <c r="J7" i="20" s="1"/>
  <c r="J8" i="20" a="1"/>
  <c r="J8" i="20" s="1"/>
  <c r="J9" i="20" a="1"/>
  <c r="J9" i="20" s="1"/>
  <c r="J10" i="20" a="1"/>
  <c r="J10" i="20" s="1"/>
  <c r="J11" i="20" a="1"/>
  <c r="J11" i="20" s="1"/>
  <c r="J12" i="20" a="1"/>
  <c r="J12" i="20" s="1"/>
  <c r="J13" i="20" a="1"/>
  <c r="J13" i="20" s="1"/>
  <c r="J14" i="20" a="1"/>
  <c r="J14" i="20" s="1"/>
  <c r="J15" i="20" a="1"/>
  <c r="J15" i="20" s="1"/>
  <c r="J16" i="20" a="1"/>
  <c r="J16" i="20" s="1"/>
  <c r="M2" i="20" a="1"/>
  <c r="M2" i="20" s="1"/>
  <c r="M3" i="20" a="1"/>
  <c r="M3" i="20"/>
  <c r="M4" i="20" a="1"/>
  <c r="M4" i="20" s="1"/>
  <c r="M5" i="20" a="1"/>
  <c r="M5" i="20" s="1"/>
  <c r="M6" i="20" a="1"/>
  <c r="M6" i="20" s="1"/>
  <c r="M7" i="20" a="1"/>
  <c r="M7" i="20" s="1"/>
  <c r="M8" i="20" a="1"/>
  <c r="M8" i="20" s="1"/>
  <c r="M9" i="20" a="1"/>
  <c r="M9" i="20" s="1"/>
  <c r="M10" i="20" a="1"/>
  <c r="M10" i="20" s="1"/>
  <c r="M11" i="20" a="1"/>
  <c r="M11" i="20"/>
  <c r="M12" i="20" a="1"/>
  <c r="M12" i="20" s="1"/>
  <c r="M13" i="20" a="1"/>
  <c r="M13" i="20" s="1"/>
  <c r="M14" i="20" a="1"/>
  <c r="M14" i="20" s="1"/>
  <c r="M15" i="20" a="1"/>
  <c r="M15" i="20" s="1"/>
  <c r="M16" i="20" a="1"/>
  <c r="M16" i="20" s="1"/>
  <c r="M2" i="18"/>
  <c r="M3" i="18"/>
  <c r="T3" i="18" s="1" a="1"/>
  <c r="T3" i="18" s="1"/>
  <c r="M4" i="18"/>
  <c r="S3" i="18" s="1" a="1"/>
  <c r="S3" i="18" s="1"/>
  <c r="M5" i="18"/>
  <c r="T5" i="18" s="1" a="1"/>
  <c r="T5" i="18" s="1"/>
  <c r="M6" i="18"/>
  <c r="N2" i="18" a="1"/>
  <c r="N2" i="18" s="1"/>
  <c r="N3" i="18" a="1"/>
  <c r="N3" i="18" s="1"/>
  <c r="N4" i="18" a="1"/>
  <c r="N4" i="18" s="1"/>
  <c r="N5" i="18" a="1"/>
  <c r="N5" i="18" s="1"/>
  <c r="N6" i="18" a="1"/>
  <c r="N6" i="18"/>
  <c r="Q2" i="18" a="1"/>
  <c r="Q2" i="18" s="1"/>
  <c r="Q3" i="18" a="1"/>
  <c r="Q3" i="18" s="1"/>
  <c r="Q4" i="18" a="1"/>
  <c r="Q4" i="18" s="1"/>
  <c r="Q5" i="18" a="1"/>
  <c r="Q5" i="18" s="1"/>
  <c r="Q6" i="18" a="1"/>
  <c r="Q6" i="18"/>
  <c r="L2" i="17"/>
  <c r="L3" i="17"/>
  <c r="L4" i="17"/>
  <c r="L5" i="17"/>
  <c r="L6" i="17"/>
  <c r="L7" i="17"/>
  <c r="L8" i="17"/>
  <c r="L9" i="17"/>
  <c r="L10" i="17"/>
  <c r="L11" i="17"/>
  <c r="L12" i="17"/>
  <c r="L13" i="17"/>
  <c r="L14" i="17"/>
  <c r="L15" i="17"/>
  <c r="L16" i="17"/>
  <c r="L17" i="17"/>
  <c r="L18" i="17"/>
  <c r="L19" i="17"/>
  <c r="L20" i="17"/>
  <c r="L21" i="17"/>
  <c r="L22" i="17"/>
  <c r="L23" i="17"/>
  <c r="L24" i="17"/>
  <c r="L25" i="17"/>
  <c r="L26" i="17"/>
  <c r="L27" i="17"/>
  <c r="L28" i="17"/>
  <c r="L29" i="17"/>
  <c r="L30" i="17"/>
  <c r="L31" i="17"/>
  <c r="M2" i="17" a="1"/>
  <c r="M2" i="17" s="1"/>
  <c r="M3" i="17" a="1"/>
  <c r="M3" i="17" s="1"/>
  <c r="M4" i="17" a="1"/>
  <c r="M4" i="17" s="1"/>
  <c r="M5" i="17" a="1"/>
  <c r="M5" i="17" s="1"/>
  <c r="M6" i="17" a="1"/>
  <c r="M6" i="17"/>
  <c r="M7" i="17" a="1"/>
  <c r="M7" i="17"/>
  <c r="M8" i="17" a="1"/>
  <c r="M8" i="17"/>
  <c r="M9" i="17" a="1"/>
  <c r="M9" i="17"/>
  <c r="M10" i="17" a="1"/>
  <c r="M10" i="17"/>
  <c r="M11" i="17" a="1"/>
  <c r="M11" i="17" s="1"/>
  <c r="M12" i="17" a="1"/>
  <c r="M12" i="17" s="1"/>
  <c r="M13" i="17" a="1"/>
  <c r="M13" i="17" s="1"/>
  <c r="M14" i="17" a="1"/>
  <c r="M14" i="17" s="1"/>
  <c r="M15" i="17" a="1"/>
  <c r="M15" i="17"/>
  <c r="M16" i="17" a="1"/>
  <c r="M16" i="17"/>
  <c r="M17" i="17" a="1"/>
  <c r="M17" i="17"/>
  <c r="M18" i="17" a="1"/>
  <c r="M18" i="17" s="1"/>
  <c r="M19" i="17" a="1"/>
  <c r="M19" i="17" s="1"/>
  <c r="M20" i="17" a="1"/>
  <c r="M20" i="17" s="1"/>
  <c r="M21" i="17" a="1"/>
  <c r="M21" i="17" s="1"/>
  <c r="M22" i="17" a="1"/>
  <c r="M22" i="17"/>
  <c r="M23" i="17" a="1"/>
  <c r="M23" i="17" s="1"/>
  <c r="M24" i="17" a="1"/>
  <c r="M24" i="17" s="1"/>
  <c r="M25" i="17" a="1"/>
  <c r="M25" i="17" s="1"/>
  <c r="M26" i="17" a="1"/>
  <c r="M26" i="17" s="1"/>
  <c r="M27" i="17" a="1"/>
  <c r="M27" i="17" s="1"/>
  <c r="M28" i="17" a="1"/>
  <c r="M28" i="17" s="1"/>
  <c r="M29" i="17" a="1"/>
  <c r="M29" i="17" s="1"/>
  <c r="M30" i="17" a="1"/>
  <c r="M30" i="17"/>
  <c r="M31" i="17" a="1"/>
  <c r="M31" i="17"/>
  <c r="P2" i="17" a="1"/>
  <c r="P2" i="17" s="1"/>
  <c r="P3" i="17" a="1"/>
  <c r="P3" i="17" s="1"/>
  <c r="P4" i="17" a="1"/>
  <c r="P4" i="17" s="1"/>
  <c r="P5" i="17" a="1"/>
  <c r="P5" i="17" s="1"/>
  <c r="P6" i="17" a="1"/>
  <c r="P6" i="17" s="1"/>
  <c r="P7" i="17" a="1"/>
  <c r="P7" i="17" s="1"/>
  <c r="P8" i="17" a="1"/>
  <c r="P8" i="17" s="1"/>
  <c r="P9" i="17" a="1"/>
  <c r="P9" i="17" s="1"/>
  <c r="P10" i="17" a="1"/>
  <c r="P10" i="17" s="1"/>
  <c r="P11" i="17" a="1"/>
  <c r="P11" i="17" s="1"/>
  <c r="P12" i="17" a="1"/>
  <c r="P12" i="17" s="1"/>
  <c r="P13" i="17" a="1"/>
  <c r="P13" i="17"/>
  <c r="P14" i="17" a="1"/>
  <c r="P14" i="17" s="1"/>
  <c r="P15" i="17" a="1"/>
  <c r="P15" i="17" s="1"/>
  <c r="P16" i="17" a="1"/>
  <c r="P16" i="17" s="1"/>
  <c r="P17" i="17" a="1"/>
  <c r="P17" i="17" s="1"/>
  <c r="P18" i="17" a="1"/>
  <c r="P18" i="17" s="1"/>
  <c r="P19" i="17" a="1"/>
  <c r="P19" i="17" s="1"/>
  <c r="P20" i="17" a="1"/>
  <c r="P20" i="17" s="1"/>
  <c r="P21" i="17" a="1"/>
  <c r="P21" i="17"/>
  <c r="P22" i="17" a="1"/>
  <c r="P22" i="17"/>
  <c r="P23" i="17" a="1"/>
  <c r="P23" i="17"/>
  <c r="P24" i="17" a="1"/>
  <c r="P24" i="17" s="1"/>
  <c r="P25" i="17" a="1"/>
  <c r="P25" i="17" s="1"/>
  <c r="P26" i="17" a="1"/>
  <c r="P26" i="17" s="1"/>
  <c r="P27" i="17" a="1"/>
  <c r="P27" i="17" s="1"/>
  <c r="P28" i="17" a="1"/>
  <c r="P28" i="17" s="1"/>
  <c r="P29" i="17" a="1"/>
  <c r="P29" i="17" s="1"/>
  <c r="P30" i="17" a="1"/>
  <c r="P30" i="17"/>
  <c r="P31" i="17" a="1"/>
  <c r="P31" i="17"/>
  <c r="G2" i="16"/>
  <c r="N4" i="20" l="1"/>
  <c r="O15" i="20" a="1"/>
  <c r="O15" i="20" s="1"/>
  <c r="L5" i="20" a="1"/>
  <c r="L5" i="20" s="1"/>
  <c r="L3" i="20" a="1"/>
  <c r="L3" i="20" s="1"/>
  <c r="K12" i="20" a="1"/>
  <c r="K12" i="20" s="1"/>
  <c r="P8" i="20" a="1"/>
  <c r="P8" i="20" s="1"/>
  <c r="K9" i="20" a="1"/>
  <c r="K9" i="20" s="1"/>
  <c r="L11" i="20" a="1"/>
  <c r="L11" i="20" s="1"/>
  <c r="N11" i="20" s="1"/>
  <c r="K10" i="20" a="1"/>
  <c r="K10" i="20" s="1"/>
  <c r="O7" i="20" a="1"/>
  <c r="O7" i="20" s="1"/>
  <c r="N5" i="20"/>
  <c r="L12" i="20" a="1"/>
  <c r="L12" i="20" s="1"/>
  <c r="N12" i="20" s="1"/>
  <c r="P10" i="20" a="1"/>
  <c r="P10" i="20" s="1"/>
  <c r="P11" i="20" a="1"/>
  <c r="P11" i="20" s="1"/>
  <c r="K11" i="20" a="1"/>
  <c r="K11" i="20" s="1"/>
  <c r="N3" i="20"/>
  <c r="K3" i="20" a="1"/>
  <c r="K3" i="20" s="1"/>
  <c r="P15" i="20" a="1"/>
  <c r="P15" i="20" s="1"/>
  <c r="P7" i="20" a="1"/>
  <c r="P7" i="20" s="1"/>
  <c r="O14" i="20" a="1"/>
  <c r="O14" i="20" s="1"/>
  <c r="O6" i="20" a="1"/>
  <c r="O6" i="20" s="1"/>
  <c r="L2" i="20" a="1"/>
  <c r="L2" i="20" s="1"/>
  <c r="N2" i="20" s="1"/>
  <c r="P13" i="20" a="1"/>
  <c r="P13" i="20" s="1"/>
  <c r="P5" i="20" a="1"/>
  <c r="P5" i="20" s="1"/>
  <c r="O12" i="20" a="1"/>
  <c r="O12" i="20" s="1"/>
  <c r="O4" i="20" a="1"/>
  <c r="O4" i="20" s="1"/>
  <c r="K8" i="20" a="1"/>
  <c r="K8" i="20" s="1"/>
  <c r="O5" i="20" a="1"/>
  <c r="O5" i="20" s="1"/>
  <c r="O3" i="20" a="1"/>
  <c r="O3" i="20" s="1"/>
  <c r="L10" i="20" a="1"/>
  <c r="L10" i="20" s="1"/>
  <c r="N10" i="20" s="1"/>
  <c r="P12" i="20" a="1"/>
  <c r="P12" i="20" s="1"/>
  <c r="L16" i="20" a="1"/>
  <c r="L16" i="20" s="1"/>
  <c r="N16" i="20" s="1"/>
  <c r="L8" i="20" a="1"/>
  <c r="L8" i="20" s="1"/>
  <c r="N8" i="20" s="1"/>
  <c r="K15" i="20" a="1"/>
  <c r="K15" i="20" s="1"/>
  <c r="K7" i="20" a="1"/>
  <c r="K7" i="20" s="1"/>
  <c r="P14" i="20" a="1"/>
  <c r="P14" i="20" s="1"/>
  <c r="O10" i="20" a="1"/>
  <c r="O10" i="20" s="1"/>
  <c r="O2" i="20" a="1"/>
  <c r="O2" i="20" s="1"/>
  <c r="L9" i="20" a="1"/>
  <c r="L9" i="20" s="1"/>
  <c r="N9" i="20" s="1"/>
  <c r="L7" i="20" a="1"/>
  <c r="L7" i="20" s="1"/>
  <c r="N7" i="20" s="1"/>
  <c r="K14" i="20" a="1"/>
  <c r="K14" i="20" s="1"/>
  <c r="K6" i="20" a="1"/>
  <c r="K6" i="20" s="1"/>
  <c r="K16" i="20" a="1"/>
  <c r="K16" i="20" s="1"/>
  <c r="P2" i="20" a="1"/>
  <c r="P2" i="20" s="1"/>
  <c r="O9" i="20" a="1"/>
  <c r="O9" i="20" s="1"/>
  <c r="P3" i="20" a="1"/>
  <c r="P3" i="20" s="1"/>
  <c r="L6" i="20" a="1"/>
  <c r="L6" i="20" s="1"/>
  <c r="N6" i="20" s="1"/>
  <c r="K13" i="20" a="1"/>
  <c r="K13" i="20" s="1"/>
  <c r="K5" i="20" a="1"/>
  <c r="K5" i="20" s="1"/>
  <c r="P6" i="20" a="1"/>
  <c r="P6" i="20" s="1"/>
  <c r="O11" i="20" a="1"/>
  <c r="O11" i="20" s="1"/>
  <c r="L14" i="20" a="1"/>
  <c r="L14" i="20" s="1"/>
  <c r="N14" i="20" s="1"/>
  <c r="P9" i="20" a="1"/>
  <c r="P9" i="20" s="1"/>
  <c r="O16" i="20" a="1"/>
  <c r="O16" i="20" s="1"/>
  <c r="O8" i="20" a="1"/>
  <c r="O8" i="20" s="1"/>
  <c r="O13" i="20" a="1"/>
  <c r="O13" i="20" s="1"/>
  <c r="P4" i="20" a="1"/>
  <c r="P4" i="20" s="1"/>
  <c r="L13" i="20" a="1"/>
  <c r="L13" i="20" s="1"/>
  <c r="N13" i="20" s="1"/>
  <c r="K4" i="20" a="1"/>
  <c r="K4" i="20" s="1"/>
  <c r="L15" i="20" a="1"/>
  <c r="L15" i="20" s="1"/>
  <c r="N15" i="20" s="1"/>
  <c r="O6" i="18" a="1"/>
  <c r="O6" i="18" s="1"/>
  <c r="O5" i="18" a="1"/>
  <c r="O5" i="18" s="1"/>
  <c r="T6" i="18" a="1"/>
  <c r="T6" i="18" s="1"/>
  <c r="R6" i="18"/>
  <c r="U6" i="18" s="1"/>
  <c r="O4" i="18" a="1"/>
  <c r="O4" i="18" s="1"/>
  <c r="O2" i="18" a="1"/>
  <c r="O2" i="18" s="1"/>
  <c r="P6" i="18" a="1"/>
  <c r="P6" i="18" s="1"/>
  <c r="T4" i="18" a="1"/>
  <c r="T4" i="18" s="1"/>
  <c r="P5" i="18" a="1"/>
  <c r="P5" i="18" s="1"/>
  <c r="R5" i="18" s="1"/>
  <c r="U5" i="18" s="1"/>
  <c r="P4" i="18" a="1"/>
  <c r="P4" i="18" s="1"/>
  <c r="R4" i="18"/>
  <c r="U4" i="18" s="1"/>
  <c r="R2" i="18"/>
  <c r="U2" i="18" s="1"/>
  <c r="P3" i="18" a="1"/>
  <c r="P3" i="18" s="1"/>
  <c r="R3" i="18" s="1"/>
  <c r="U3" i="18" s="1"/>
  <c r="T2" i="18" a="1"/>
  <c r="T2" i="18" s="1"/>
  <c r="S6" i="18" a="1"/>
  <c r="S6" i="18" s="1"/>
  <c r="P2" i="18" a="1"/>
  <c r="P2" i="18" s="1"/>
  <c r="S5" i="18" a="1"/>
  <c r="S5" i="18" s="1"/>
  <c r="S4" i="18" a="1"/>
  <c r="S4" i="18" s="1"/>
  <c r="O3" i="18" a="1"/>
  <c r="O3" i="18" s="1"/>
  <c r="S2" i="18" a="1"/>
  <c r="S2" i="18" s="1"/>
  <c r="X6" i="17" a="1"/>
  <c r="X6" i="17" s="1"/>
  <c r="Y6" i="17" s="1"/>
  <c r="X14" i="17" a="1"/>
  <c r="X14" i="17" s="1"/>
  <c r="Y14" i="17" s="1"/>
  <c r="O15" i="17" a="1"/>
  <c r="O15" i="17" s="1"/>
  <c r="S30" i="17" a="1"/>
  <c r="S30" i="17" s="1"/>
  <c r="O27" i="17" a="1"/>
  <c r="O27" i="17" s="1"/>
  <c r="N29" i="17" a="1"/>
  <c r="N29" i="17" s="1"/>
  <c r="X22" i="17" a="1"/>
  <c r="X22" i="17" s="1"/>
  <c r="Y22" i="17" s="1"/>
  <c r="O31" i="17" a="1"/>
  <c r="O31" i="17" s="1"/>
  <c r="S14" i="17" a="1"/>
  <c r="S14" i="17" s="1"/>
  <c r="N25" i="17" a="1"/>
  <c r="N25" i="17" s="1"/>
  <c r="S29" i="17" a="1"/>
  <c r="S29" i="17" s="1"/>
  <c r="T17" i="17" a="1"/>
  <c r="T17" i="17" s="1"/>
  <c r="X17" i="17" a="1"/>
  <c r="X17" i="17" s="1"/>
  <c r="Y17" i="17" s="1"/>
  <c r="T23" i="17" a="1"/>
  <c r="T23" i="17" s="1"/>
  <c r="U9" i="17" a="1"/>
  <c r="U9" i="17" s="1"/>
  <c r="O17" i="17" a="1"/>
  <c r="O17" i="17" s="1"/>
  <c r="V11" i="17" a="1"/>
  <c r="V11" i="17" s="1"/>
  <c r="V3" i="17" a="1"/>
  <c r="V3" i="17" s="1"/>
  <c r="V19" i="17" a="1"/>
  <c r="V19" i="17" s="1"/>
  <c r="S17" i="17" a="1"/>
  <c r="S17" i="17" s="1"/>
  <c r="V27" i="17" a="1"/>
  <c r="V27" i="17" s="1"/>
  <c r="N17" i="17" a="1"/>
  <c r="N17" i="17" s="1"/>
  <c r="T7" i="17" a="1"/>
  <c r="T7" i="17" s="1"/>
  <c r="T31" i="17" a="1"/>
  <c r="T31" i="17" s="1"/>
  <c r="R17" i="17" a="1"/>
  <c r="R17" i="17" s="1"/>
  <c r="V17" i="17" a="1"/>
  <c r="V17" i="17" s="1"/>
  <c r="U17" i="17" a="1"/>
  <c r="U17" i="17" s="1"/>
  <c r="U25" i="17" a="1"/>
  <c r="U25" i="17" s="1"/>
  <c r="T15" i="17" a="1"/>
  <c r="T15" i="17" s="1"/>
  <c r="N13" i="17" a="1"/>
  <c r="N13" i="17" s="1"/>
  <c r="O9" i="17" a="1"/>
  <c r="O9" i="17" s="1"/>
  <c r="R20" i="17" a="1"/>
  <c r="R20" i="17" s="1"/>
  <c r="R12" i="17" a="1"/>
  <c r="R12" i="17" s="1"/>
  <c r="O7" i="17" a="1"/>
  <c r="O7" i="17" s="1"/>
  <c r="N5" i="17" a="1"/>
  <c r="N5" i="17" s="1"/>
  <c r="R4" i="17" a="1"/>
  <c r="R4" i="17" s="1"/>
  <c r="N21" i="17" a="1"/>
  <c r="N21" i="17" s="1"/>
  <c r="O23" i="17" a="1"/>
  <c r="O23" i="17" s="1"/>
  <c r="X30" i="17" a="1"/>
  <c r="X30" i="17" s="1"/>
  <c r="Y30" i="17" s="1"/>
  <c r="S21" i="17" a="1"/>
  <c r="S21" i="17" s="1"/>
  <c r="S13" i="17" a="1"/>
  <c r="S13" i="17" s="1"/>
  <c r="S5" i="17" a="1"/>
  <c r="S5" i="17" s="1"/>
  <c r="R27" i="17" a="1"/>
  <c r="R27" i="17" s="1"/>
  <c r="R19" i="17" a="1"/>
  <c r="R19" i="17" s="1"/>
  <c r="R11" i="17" a="1"/>
  <c r="R11" i="17" s="1"/>
  <c r="R3" i="17" a="1"/>
  <c r="R3" i="17" s="1"/>
  <c r="O30" i="17" a="1"/>
  <c r="O30" i="17" s="1"/>
  <c r="O22" i="17" a="1"/>
  <c r="O22" i="17" s="1"/>
  <c r="O14" i="17" a="1"/>
  <c r="O14" i="17" s="1"/>
  <c r="Q14" i="17" s="1"/>
  <c r="W14" i="17" s="1"/>
  <c r="O6" i="17" a="1"/>
  <c r="O6" i="17" s="1"/>
  <c r="Q6" i="17" s="1"/>
  <c r="W6" i="17" s="1"/>
  <c r="N28" i="17" a="1"/>
  <c r="N28" i="17" s="1"/>
  <c r="N20" i="17" a="1"/>
  <c r="N20" i="17" s="1"/>
  <c r="N12" i="17" a="1"/>
  <c r="N12" i="17" s="1"/>
  <c r="N4" i="17" a="1"/>
  <c r="N4" i="17" s="1"/>
  <c r="X21" i="17" a="1"/>
  <c r="X21" i="17" s="1"/>
  <c r="Y21" i="17" s="1"/>
  <c r="Q21" i="17" s="1"/>
  <c r="W21" i="17" s="1"/>
  <c r="U16" i="17" a="1"/>
  <c r="U16" i="17" s="1"/>
  <c r="S20" i="17" a="1"/>
  <c r="S20" i="17" s="1"/>
  <c r="O21" i="17" a="1"/>
  <c r="O21" i="17" s="1"/>
  <c r="N3" i="17" a="1"/>
  <c r="N3" i="17" s="1"/>
  <c r="X12" i="17" a="1"/>
  <c r="X12" i="17" s="1"/>
  <c r="Y12" i="17" s="1"/>
  <c r="Q12" i="17" s="1"/>
  <c r="W12" i="17" s="1"/>
  <c r="X4" i="17" a="1"/>
  <c r="X4" i="17" s="1"/>
  <c r="Y4" i="17" s="1"/>
  <c r="Q4" i="17" s="1"/>
  <c r="W4" i="17" s="1"/>
  <c r="V9" i="17" a="1"/>
  <c r="V9" i="17" s="1"/>
  <c r="U31" i="17" a="1"/>
  <c r="U31" i="17" s="1"/>
  <c r="U7" i="17" a="1"/>
  <c r="U7" i="17" s="1"/>
  <c r="T29" i="17" a="1"/>
  <c r="T29" i="17" s="1"/>
  <c r="T21" i="17" a="1"/>
  <c r="T21" i="17" s="1"/>
  <c r="T13" i="17" a="1"/>
  <c r="T13" i="17" s="1"/>
  <c r="S27" i="17" a="1"/>
  <c r="S27" i="17" s="1"/>
  <c r="S19" i="17" a="1"/>
  <c r="S19" i="17" s="1"/>
  <c r="S3" i="17" a="1"/>
  <c r="S3" i="17" s="1"/>
  <c r="R25" i="17" a="1"/>
  <c r="R25" i="17" s="1"/>
  <c r="O28" i="17" a="1"/>
  <c r="O28" i="17" s="1"/>
  <c r="O20" i="17" a="1"/>
  <c r="O20" i="17" s="1"/>
  <c r="O12" i="17" a="1"/>
  <c r="O12" i="17" s="1"/>
  <c r="N26" i="17" a="1"/>
  <c r="N26" i="17" s="1"/>
  <c r="N18" i="17" a="1"/>
  <c r="N18" i="17" s="1"/>
  <c r="N10" i="17" a="1"/>
  <c r="N10" i="17" s="1"/>
  <c r="N2" i="17" a="1"/>
  <c r="N2" i="17" s="1"/>
  <c r="T30" i="17" a="1"/>
  <c r="T30" i="17" s="1"/>
  <c r="O5" i="17" a="1"/>
  <c r="O5" i="17" s="1"/>
  <c r="X28" i="17" a="1"/>
  <c r="X28" i="17" s="1"/>
  <c r="Y28" i="17" s="1"/>
  <c r="Q28" i="17" s="1"/>
  <c r="W28" i="17" s="1"/>
  <c r="V25" i="17" a="1"/>
  <c r="V25" i="17" s="1"/>
  <c r="U23" i="17" a="1"/>
  <c r="U23" i="17" s="1"/>
  <c r="U15" i="17" a="1"/>
  <c r="U15" i="17" s="1"/>
  <c r="T5" i="17" a="1"/>
  <c r="T5" i="17" s="1"/>
  <c r="S11" i="17" a="1"/>
  <c r="S11" i="17" s="1"/>
  <c r="R9" i="17" a="1"/>
  <c r="R9" i="17" s="1"/>
  <c r="O4" i="17" a="1"/>
  <c r="O4" i="17" s="1"/>
  <c r="U24" i="17" a="1"/>
  <c r="U24" i="17" s="1"/>
  <c r="S28" i="17" a="1"/>
  <c r="S28" i="17" s="1"/>
  <c r="O29" i="17" a="1"/>
  <c r="O29" i="17" s="1"/>
  <c r="N11" i="17" a="1"/>
  <c r="N11" i="17" s="1"/>
  <c r="X20" i="17" a="1"/>
  <c r="X20" i="17" s="1"/>
  <c r="Y20" i="17" s="1"/>
  <c r="Q20" i="17" s="1"/>
  <c r="W20" i="17" s="1"/>
  <c r="X27" i="17" a="1"/>
  <c r="X27" i="17" s="1"/>
  <c r="Y27" i="17" s="1"/>
  <c r="Q27" i="17" s="1"/>
  <c r="W27" i="17" s="1"/>
  <c r="X11" i="17" a="1"/>
  <c r="X11" i="17" s="1"/>
  <c r="Y11" i="17" s="1"/>
  <c r="V24" i="17" a="1"/>
  <c r="V24" i="17" s="1"/>
  <c r="V16" i="17" a="1"/>
  <c r="V16" i="17" s="1"/>
  <c r="U22" i="17" a="1"/>
  <c r="U22" i="17" s="1"/>
  <c r="U14" i="17" a="1"/>
  <c r="U14" i="17" s="1"/>
  <c r="T28" i="17" a="1"/>
  <c r="T28" i="17" s="1"/>
  <c r="T20" i="17" a="1"/>
  <c r="T20" i="17" s="1"/>
  <c r="T4" i="17" a="1"/>
  <c r="T4" i="17" s="1"/>
  <c r="S26" i="17" a="1"/>
  <c r="S26" i="17" s="1"/>
  <c r="S10" i="17" a="1"/>
  <c r="S10" i="17" s="1"/>
  <c r="S2" i="17" a="1"/>
  <c r="S2" i="17" s="1"/>
  <c r="R16" i="17" a="1"/>
  <c r="R16" i="17" s="1"/>
  <c r="R8" i="17" a="1"/>
  <c r="R8" i="17" s="1"/>
  <c r="O19" i="17" a="1"/>
  <c r="O19" i="17" s="1"/>
  <c r="O11" i="17" a="1"/>
  <c r="O11" i="17" s="1"/>
  <c r="O3" i="17" a="1"/>
  <c r="O3" i="17" s="1"/>
  <c r="N9" i="17" a="1"/>
  <c r="N9" i="17" s="1"/>
  <c r="X5" i="17" a="1"/>
  <c r="X5" i="17" s="1"/>
  <c r="Y5" i="17" s="1"/>
  <c r="Q5" i="17" s="1"/>
  <c r="W5" i="17" s="1"/>
  <c r="S12" i="17" a="1"/>
  <c r="S12" i="17" s="1"/>
  <c r="N19" i="17" a="1"/>
  <c r="N19" i="17" s="1"/>
  <c r="X19" i="17" a="1"/>
  <c r="X19" i="17" s="1"/>
  <c r="Y19" i="17" s="1"/>
  <c r="X3" i="17" a="1"/>
  <c r="X3" i="17" s="1"/>
  <c r="Y3" i="17" s="1"/>
  <c r="Q3" i="17" s="1"/>
  <c r="W3" i="17" s="1"/>
  <c r="V8" i="17" a="1"/>
  <c r="V8" i="17" s="1"/>
  <c r="U30" i="17" a="1"/>
  <c r="U30" i="17" s="1"/>
  <c r="U6" i="17" a="1"/>
  <c r="U6" i="17" s="1"/>
  <c r="T12" i="17" a="1"/>
  <c r="T12" i="17" s="1"/>
  <c r="S18" i="17" a="1"/>
  <c r="S18" i="17" s="1"/>
  <c r="R24" i="17" a="1"/>
  <c r="R24" i="17" s="1"/>
  <c r="X29" i="17" a="1"/>
  <c r="X29" i="17" s="1"/>
  <c r="Y29" i="17" s="1"/>
  <c r="Q29" i="17" s="1"/>
  <c r="W29" i="17" s="1"/>
  <c r="T6" i="17" a="1"/>
  <c r="T6" i="17" s="1"/>
  <c r="X26" i="17" a="1"/>
  <c r="X26" i="17" s="1"/>
  <c r="Y26" i="17" s="1"/>
  <c r="Q26" i="17" s="1"/>
  <c r="W26" i="17" s="1"/>
  <c r="U21" i="17" a="1"/>
  <c r="U21" i="17" s="1"/>
  <c r="U13" i="17" a="1"/>
  <c r="U13" i="17" s="1"/>
  <c r="T27" i="17" a="1"/>
  <c r="T27" i="17" s="1"/>
  <c r="T11" i="17" a="1"/>
  <c r="T11" i="17" s="1"/>
  <c r="S25" i="17" a="1"/>
  <c r="S25" i="17" s="1"/>
  <c r="R31" i="17" a="1"/>
  <c r="R31" i="17" s="1"/>
  <c r="R7" i="17" a="1"/>
  <c r="R7" i="17" s="1"/>
  <c r="O18" i="17" a="1"/>
  <c r="O18" i="17" s="1"/>
  <c r="O2" i="17" a="1"/>
  <c r="O2" i="17" s="1"/>
  <c r="N16" i="17" a="1"/>
  <c r="N16" i="17" s="1"/>
  <c r="X13" i="17" a="1"/>
  <c r="X13" i="17" s="1"/>
  <c r="Y13" i="17" s="1"/>
  <c r="S4" i="17" a="1"/>
  <c r="S4" i="17" s="1"/>
  <c r="X18" i="17" a="1"/>
  <c r="X18" i="17" s="1"/>
  <c r="Y18" i="17" s="1"/>
  <c r="U5" i="17" a="1"/>
  <c r="U5" i="17" s="1"/>
  <c r="T19" i="17" a="1"/>
  <c r="T19" i="17" s="1"/>
  <c r="T3" i="17" a="1"/>
  <c r="T3" i="17" s="1"/>
  <c r="S9" i="17" a="1"/>
  <c r="S9" i="17" s="1"/>
  <c r="R23" i="17" a="1"/>
  <c r="R23" i="17" s="1"/>
  <c r="R15" i="17" a="1"/>
  <c r="R15" i="17" s="1"/>
  <c r="O26" i="17" a="1"/>
  <c r="O26" i="17" s="1"/>
  <c r="O10" i="17" a="1"/>
  <c r="O10" i="17" s="1"/>
  <c r="N24" i="17" a="1"/>
  <c r="N24" i="17" s="1"/>
  <c r="N8" i="17" a="1"/>
  <c r="N8" i="17" s="1"/>
  <c r="V10" i="17" a="1"/>
  <c r="V10" i="17" s="1"/>
  <c r="R18" i="17" a="1"/>
  <c r="R18" i="17" s="1"/>
  <c r="V23" i="17" a="1"/>
  <c r="V23" i="17" s="1"/>
  <c r="V22" i="17" a="1"/>
  <c r="V22" i="17" s="1"/>
  <c r="V14" i="17" a="1"/>
  <c r="V14" i="17" s="1"/>
  <c r="U12" i="17" a="1"/>
  <c r="U12" i="17" s="1"/>
  <c r="T26" i="17" a="1"/>
  <c r="T26" i="17" s="1"/>
  <c r="T10" i="17" a="1"/>
  <c r="T10" i="17" s="1"/>
  <c r="S24" i="17" a="1"/>
  <c r="S24" i="17" s="1"/>
  <c r="S8" i="17" a="1"/>
  <c r="S8" i="17" s="1"/>
  <c r="R30" i="17" a="1"/>
  <c r="R30" i="17" s="1"/>
  <c r="R6" i="17" a="1"/>
  <c r="R6" i="17" s="1"/>
  <c r="N31" i="17" a="1"/>
  <c r="N31" i="17" s="1"/>
  <c r="N7" i="17" a="1"/>
  <c r="N7" i="17" s="1"/>
  <c r="V26" i="17" a="1"/>
  <c r="V26" i="17" s="1"/>
  <c r="R26" i="17" a="1"/>
  <c r="R26" i="17" s="1"/>
  <c r="X10" i="17" a="1"/>
  <c r="X10" i="17" s="1"/>
  <c r="Y10" i="17" s="1"/>
  <c r="X9" i="17" a="1"/>
  <c r="X9" i="17" s="1"/>
  <c r="Y9" i="17" s="1"/>
  <c r="V30" i="17" a="1"/>
  <c r="V30" i="17" s="1"/>
  <c r="U20" i="17" a="1"/>
  <c r="U20" i="17" s="1"/>
  <c r="U4" i="17" a="1"/>
  <c r="U4" i="17" s="1"/>
  <c r="T18" i="17" a="1"/>
  <c r="T18" i="17" s="1"/>
  <c r="T2" i="17" a="1"/>
  <c r="T2" i="17" s="1"/>
  <c r="S16" i="17" a="1"/>
  <c r="S16" i="17" s="1"/>
  <c r="R22" i="17" a="1"/>
  <c r="R22" i="17" s="1"/>
  <c r="R14" i="17" a="1"/>
  <c r="R14" i="17" s="1"/>
  <c r="O25" i="17" a="1"/>
  <c r="O25" i="17" s="1"/>
  <c r="N23" i="17" a="1"/>
  <c r="N23" i="17" s="1"/>
  <c r="N15" i="17" a="1"/>
  <c r="N15" i="17" s="1"/>
  <c r="T22" i="17" a="1"/>
  <c r="T22" i="17" s="1"/>
  <c r="O13" i="17" a="1"/>
  <c r="O13" i="17" s="1"/>
  <c r="V7" i="17" a="1"/>
  <c r="V7" i="17" s="1"/>
  <c r="U29" i="17" a="1"/>
  <c r="U29" i="17" s="1"/>
  <c r="U28" i="17" a="1"/>
  <c r="U28" i="17" s="1"/>
  <c r="X8" i="17" a="1"/>
  <c r="X8" i="17" s="1"/>
  <c r="Y8" i="17" s="1"/>
  <c r="V29" i="17" a="1"/>
  <c r="V29" i="17" s="1"/>
  <c r="U27" i="17" a="1"/>
  <c r="U27" i="17" s="1"/>
  <c r="U3" i="17" a="1"/>
  <c r="U3" i="17" s="1"/>
  <c r="S23" i="17" a="1"/>
  <c r="S23" i="17" s="1"/>
  <c r="S15" i="17" a="1"/>
  <c r="S15" i="17" s="1"/>
  <c r="R5" i="17" a="1"/>
  <c r="R5" i="17" s="1"/>
  <c r="N22" i="17" a="1"/>
  <c r="N22" i="17" s="1"/>
  <c r="V2" i="17" a="1"/>
  <c r="V2" i="17" s="1"/>
  <c r="T14" i="17" a="1"/>
  <c r="T14" i="17" s="1"/>
  <c r="R2" i="17" a="1"/>
  <c r="R2" i="17" s="1"/>
  <c r="N27" i="17" a="1"/>
  <c r="N27" i="17" s="1"/>
  <c r="X2" i="17" a="1"/>
  <c r="X2" i="17" s="1"/>
  <c r="Y2" i="17" s="1"/>
  <c r="V31" i="17" a="1"/>
  <c r="V31" i="17" s="1"/>
  <c r="V15" i="17" a="1"/>
  <c r="V15" i="17" s="1"/>
  <c r="X25" i="17" a="1"/>
  <c r="X25" i="17" s="1"/>
  <c r="Y25" i="17" s="1"/>
  <c r="V6" i="17" a="1"/>
  <c r="V6" i="17" s="1"/>
  <c r="X24" i="17" a="1"/>
  <c r="X24" i="17" s="1"/>
  <c r="Y24" i="17" s="1"/>
  <c r="X16" i="17" a="1"/>
  <c r="X16" i="17" s="1"/>
  <c r="Y16" i="17" s="1"/>
  <c r="V21" i="17" a="1"/>
  <c r="V21" i="17" s="1"/>
  <c r="V13" i="17" a="1"/>
  <c r="V13" i="17" s="1"/>
  <c r="V5" i="17" a="1"/>
  <c r="V5" i="17" s="1"/>
  <c r="U19" i="17" a="1"/>
  <c r="U19" i="17" s="1"/>
  <c r="U11" i="17" a="1"/>
  <c r="U11" i="17" s="1"/>
  <c r="T25" i="17" a="1"/>
  <c r="T25" i="17" s="1"/>
  <c r="T9" i="17" a="1"/>
  <c r="T9" i="17" s="1"/>
  <c r="S31" i="17" a="1"/>
  <c r="S31" i="17" s="1"/>
  <c r="S7" i="17" a="1"/>
  <c r="S7" i="17" s="1"/>
  <c r="R29" i="17" a="1"/>
  <c r="R29" i="17" s="1"/>
  <c r="R21" i="17" a="1"/>
  <c r="R21" i="17" s="1"/>
  <c r="R13" i="17" a="1"/>
  <c r="R13" i="17" s="1"/>
  <c r="O24" i="17" a="1"/>
  <c r="O24" i="17" s="1"/>
  <c r="O16" i="17" a="1"/>
  <c r="O16" i="17" s="1"/>
  <c r="O8" i="17" a="1"/>
  <c r="O8" i="17" s="1"/>
  <c r="N30" i="17" a="1"/>
  <c r="N30" i="17" s="1"/>
  <c r="N14" i="17" a="1"/>
  <c r="N14" i="17" s="1"/>
  <c r="N6" i="17" a="1"/>
  <c r="N6" i="17" s="1"/>
  <c r="V18" i="17" a="1"/>
  <c r="V18" i="17" s="1"/>
  <c r="U8" i="17" a="1"/>
  <c r="U8" i="17" s="1"/>
  <c r="R10" i="17" a="1"/>
  <c r="R10" i="17" s="1"/>
  <c r="X31" i="17" a="1"/>
  <c r="X31" i="17" s="1"/>
  <c r="Y31" i="17" s="1"/>
  <c r="Q31" i="17" s="1"/>
  <c r="W31" i="17" s="1"/>
  <c r="X23" i="17" a="1"/>
  <c r="X23" i="17" s="1"/>
  <c r="Y23" i="17" s="1"/>
  <c r="Q23" i="17" s="1"/>
  <c r="W23" i="17" s="1"/>
  <c r="X15" i="17" a="1"/>
  <c r="X15" i="17" s="1"/>
  <c r="Y15" i="17" s="1"/>
  <c r="Q15" i="17" s="1"/>
  <c r="W15" i="17" s="1"/>
  <c r="X7" i="17" a="1"/>
  <c r="X7" i="17" s="1"/>
  <c r="Y7" i="17" s="1"/>
  <c r="V28" i="17" a="1"/>
  <c r="V28" i="17" s="1"/>
  <c r="V20" i="17" a="1"/>
  <c r="V20" i="17" s="1"/>
  <c r="V12" i="17" a="1"/>
  <c r="V12" i="17" s="1"/>
  <c r="V4" i="17" a="1"/>
  <c r="V4" i="17" s="1"/>
  <c r="U26" i="17" a="1"/>
  <c r="U26" i="17" s="1"/>
  <c r="U18" i="17" a="1"/>
  <c r="U18" i="17" s="1"/>
  <c r="U10" i="17" a="1"/>
  <c r="U10" i="17" s="1"/>
  <c r="U2" i="17" a="1"/>
  <c r="U2" i="17" s="1"/>
  <c r="T24" i="17" a="1"/>
  <c r="T24" i="17" s="1"/>
  <c r="T16" i="17" a="1"/>
  <c r="T16" i="17" s="1"/>
  <c r="T8" i="17" a="1"/>
  <c r="T8" i="17" s="1"/>
  <c r="S22" i="17" a="1"/>
  <c r="S22" i="17" s="1"/>
  <c r="S6" i="17" a="1"/>
  <c r="S6" i="17" s="1"/>
  <c r="R28" i="17" a="1"/>
  <c r="R28" i="17" s="1"/>
  <c r="Q18" i="17" l="1"/>
  <c r="W18" i="17" s="1"/>
  <c r="Q8" i="17"/>
  <c r="W8" i="17" s="1"/>
  <c r="Q2" i="17"/>
  <c r="W2" i="17" s="1"/>
  <c r="Q16" i="17"/>
  <c r="W16" i="17" s="1"/>
  <c r="Q24" i="17"/>
  <c r="W24" i="17" s="1"/>
  <c r="Q13" i="17"/>
  <c r="W13" i="17" s="1"/>
  <c r="Q11" i="17"/>
  <c r="W11" i="17" s="1"/>
  <c r="Q25" i="17"/>
  <c r="W25" i="17" s="1"/>
  <c r="Q9" i="17"/>
  <c r="W9" i="17" s="1"/>
  <c r="Q10" i="17"/>
  <c r="W10" i="17" s="1"/>
  <c r="Q19" i="17"/>
  <c r="W19" i="17" s="1"/>
  <c r="Q22" i="17"/>
  <c r="W22" i="17" s="1"/>
  <c r="Q17" i="17"/>
  <c r="W17" i="17" s="1"/>
  <c r="Q7" i="17"/>
  <c r="W7" i="17" s="1"/>
  <c r="Q30" i="17"/>
  <c r="W30" i="17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2DB19BF-D1AA-4393-8671-76A8F9E0F6C5}" name="Connection" type="1" refreshedVersion="8" saveData="1">
    <dbPr connection="Driver={SQLite3 ODBC Driver};Database=e:\programming\data-science\model\production\arena\ex1\3.db;StepAPI=;SyncPragma=;NoTXN=;Timeout=;ShortNames=;LongNames=;NoCreat=;NoWCHAR=;FKSupport=;JournalMode=;OEMCP=;LoadExt=;BigInt=;JDConv=;" command="select * from FrequencyStatsQuery"/>
  </connection>
  <connection id="2" xr16:uid="{0D0487BA-A295-4B77-80F6-D5BE4F81B0B2}" name="Connection1" type="1" refreshedVersion="8" saveData="1">
    <dbPr connection="Driver={SQLite3 ODBC Driver};Database=e:\programming\data-science\model\production\arena\ex1\3.db;StepAPI=;SyncPragma=;NoTXN=;Timeout=;ShortNames=;LongNames=;NoCreat=;NoWCHAR=;FKSupport=;JournalMode=;OEMCP=;LoadExt=;BigInt=;JDConv=;" command="select * from ProjectQuery"/>
  </connection>
  <connection id="3" xr16:uid="{3D0C4819-CB44-4E78-BCA2-42901CC6F509}" name="Connection2" type="1" refreshedVersion="8" saveData="1">
    <dbPr connection="Driver={SQLite3 ODBC Driver};Database=e:\programming\data-science\model\production\arena\ex1\3.db;StepAPI=;SyncPragma=;NoTXN=;Timeout=;ShortNames=;LongNames=;NoCreat=;NoWCHAR=;FKSupport=;JournalMode=;OEMCP=;LoadExt=;BigInt=;JDConv=;" command="select * from DiscreteTimeStatsQuery"/>
  </connection>
  <connection id="4" xr16:uid="{F47580D8-08D6-4B69-8DE7-1B45C3195479}" name="Connection3" type="1" refreshedVersion="8" saveData="1">
    <dbPr connection="Driver={SQLite3 ODBC Driver};Database=e:\programming\data-science\model\production\arena\ex1\3.db;StepAPI=;SyncPragma=;NoTXN=;Timeout=;ShortNames=;LongNames=;NoCreat=;NoWCHAR=;FKSupport=;JournalMode=;OEMCP=;LoadExt=;BigInt=;JDConv=;" command="select * from ContinuousTimeStatsQuery"/>
  </connection>
  <connection id="5" xr16:uid="{FFC361A3-242A-482C-9819-1F93D48A8A8E}" name="Connection4" type="1" refreshedVersion="8" saveData="1">
    <dbPr connection="Driver={SQLite3 ODBC Driver};Database=e:\programming\data-science\model\production\arena\ex1\3.db;StepAPI=;SyncPragma=;NoTXN=;Timeout=;ShortNames=;LongNames=;NoCreat=;NoWCHAR=;FKSupport=;JournalMode=;OEMCP=;LoadExt=;BigInt=;JDConv=;" command="select * from CounterStatsQuery"/>
  </connection>
  <connection id="6" xr16:uid="{25109672-E607-4045-8EEA-6BAAEEA2B450}" name="Connection5" type="1" refreshedVersion="8" saveData="1">
    <dbPr connection="Driver={SQLite3 ODBC Driver};Database=e:\programming\data-science\model\production\arena\ex1\3.db;StepAPI=;SyncPragma=;NoTXN=;Timeout=;ShortNames=;LongNames=;NoCreat=;NoWCHAR=;FKSupport=;JournalMode=;OEMCP=;LoadExt=;BigInt=;JDConv=;" command="select * from OutputStatsQuery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<sst xmlns="http://schemas.openxmlformats.org/spreadsheetml/2006/main" count="443" uniqueCount="86">
  <si>
    <t>Replication</t>
  </si>
  <si>
    <t>RecordedValue</t>
  </si>
  <si>
    <t>Average</t>
  </si>
  <si>
    <t>Minimum</t>
  </si>
  <si>
    <t>Maximum</t>
  </si>
  <si>
    <t>NumberObservations</t>
  </si>
  <si>
    <t>StandardPercentage</t>
  </si>
  <si>
    <t>AverageTimeInCategory</t>
  </si>
  <si>
    <t>FrequencyCategoryCount</t>
  </si>
  <si>
    <t>LastRecordedValue</t>
  </si>
  <si>
    <t>Discrete-Time Statistics (Tally)</t>
  </si>
  <si>
    <t>Frequency Statistics</t>
  </si>
  <si>
    <t>Continuous-Time Statistics (Time Persistent)</t>
  </si>
  <si>
    <t>Output Statistics (Reports End of Replication Value)</t>
  </si>
  <si>
    <t>Min Replication Value</t>
  </si>
  <si>
    <t>Max Replication Value</t>
  </si>
  <si>
    <t>Min Replication Average</t>
  </si>
  <si>
    <t>Max Replication Average</t>
  </si>
  <si>
    <t>Counter Statistics (Reports End of Replication Value)</t>
  </si>
  <si>
    <t>Overall Min Value</t>
  </si>
  <si>
    <t>Overall Max Value</t>
  </si>
  <si>
    <t>Name</t>
  </si>
  <si>
    <t>Source</t>
  </si>
  <si>
    <t>Type</t>
  </si>
  <si>
    <t>GroupByKey</t>
  </si>
  <si>
    <t>ModelFile</t>
  </si>
  <si>
    <t>ModelRunDate</t>
  </si>
  <si>
    <t>StandardDeviation</t>
  </si>
  <si>
    <t>Half-Width</t>
  </si>
  <si>
    <t>AverageStandardPercentage</t>
  </si>
  <si>
    <t>AverageOfAverage</t>
  </si>
  <si>
    <t>StDevOfAverage</t>
  </si>
  <si>
    <t>MinimumAverage</t>
  </si>
  <si>
    <t>MaximumAverage</t>
  </si>
  <si>
    <t>AverageRestrictedPercentage</t>
  </si>
  <si>
    <t>ConfidenceInterval</t>
  </si>
  <si>
    <t>OverallMinimum</t>
  </si>
  <si>
    <t>OverallMaximum</t>
  </si>
  <si>
    <t>AverageNumberObservations</t>
  </si>
  <si>
    <t>TimeUnits</t>
  </si>
  <si>
    <t>NumberOfReplications</t>
  </si>
  <si>
    <t>Project Name</t>
  </si>
  <si>
    <t>Project RunDateTime</t>
  </si>
  <si>
    <t>BatchMeansHalfWidth</t>
  </si>
  <si>
    <t>HalfWidth</t>
  </si>
  <si>
    <t>RestrictedPercentage</t>
  </si>
  <si>
    <t>SummaryHalfWidth</t>
  </si>
  <si>
    <t>SummaryStandardPercentage</t>
  </si>
  <si>
    <t>SummaryRestrictedPercentage</t>
  </si>
  <si>
    <t>Average Of Replication Averages</t>
  </si>
  <si>
    <t>StDev Of Replication Averages</t>
  </si>
  <si>
    <t>Avg Observations Per Replication</t>
  </si>
  <si>
    <t>Minimum Replication Average</t>
  </si>
  <si>
    <t>Maximum Replication Average</t>
  </si>
  <si>
    <t>Average Across Replications</t>
  </si>
  <si>
    <t>Overall StDev Across Replications</t>
  </si>
  <si>
    <t>AvgStatCollectionLength</t>
  </si>
  <si>
    <t>Category</t>
  </si>
  <si>
    <t>Average Standard Percentage</t>
  </si>
  <si>
    <t>Average Restricted Percentage</t>
  </si>
  <si>
    <t>RepsRequested</t>
  </si>
  <si>
    <t>RepsWithStatObserved</t>
  </si>
  <si>
    <t>Observed=Requested</t>
  </si>
  <si>
    <t xml:space="preserve">Observed=Requested </t>
  </si>
  <si>
    <t>ProjectName</t>
  </si>
  <si>
    <t>IsPeriodic</t>
  </si>
  <si>
    <t>Unnamed Project</t>
  </si>
  <si>
    <t>IncludeOption</t>
  </si>
  <si>
    <t>E:\programming\Data-Science\model\production\Arena\Ex1\3.p</t>
  </si>
  <si>
    <t>2025-04-26 15:48:51</t>
  </si>
  <si>
    <t>Part</t>
  </si>
  <si>
    <t>NVA Time</t>
  </si>
  <si>
    <t>Entity</t>
  </si>
  <si>
    <t>Other Time</t>
  </si>
  <si>
    <t>Total Time</t>
  </si>
  <si>
    <t>Transfer Time</t>
  </si>
  <si>
    <t>VA Time</t>
  </si>
  <si>
    <t>Wait Time</t>
  </si>
  <si>
    <t>WIP</t>
  </si>
  <si>
    <t>Part.NumberIn</t>
  </si>
  <si>
    <t>Number In</t>
  </si>
  <si>
    <t>Part.NumberOut</t>
  </si>
  <si>
    <t>Number Out</t>
  </si>
  <si>
    <t>System.NumberOut</t>
  </si>
  <si>
    <t>System</t>
  </si>
  <si>
    <t>(空白)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</si>
</sst>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family val="2"/>
      <scheme val="minor"/>
    </font>
    <font>
      <b/>
      <sz val="14"/>
      <color theme="1"/>
      <name val="等线"/>
      <family val="2"/>
      <scheme val="minor"/>
    </font>
    <font>
      <sz val="8"/>
      <name val="等线"/>
      <family val="2"/>
      <scheme val="minor"/>
    </font>
    <font>
      <sz val="9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0" fillId="0" borderId="0" xfId="0" pivotButton="1"/>
    <xf numFmtId="20" fontId="0" fillId="0" borderId="0" xfId="0" applyNumberFormat="1"/>
    <xf numFmtId="10" fontId="0" fillId="0" borderId="0" xfId="0" applyNumberFormat="1"/>
    <xf numFmtId="0" fontId="0" fillId="0" borderId="0" xfId="0" applyNumberFormat="1"/>
  </cellXfs>
  <cellStyles count="1">
    <cellStyle name="常规" xfId="0" builtinId="0"/>
  </cellStyles>
  <dxfs count="71">
    <dxf>
      <numFmt numFmtId="176" formatCode="[=400000000000000000000]&quot;Null&quot;;;"/>
    </dxf>
    <dxf>
      <fill>
        <patternFill>
          <bgColor theme="6"/>
        </patternFill>
      </fill>
    </dxf>
    <dxf>
      <numFmt numFmtId="177" formatCode="[=400000000000000000000]&quot;NoCalc&quot;;;"/>
    </dxf>
    <dxf>
      <fill>
        <patternFill>
          <bgColor theme="6"/>
        </patternFill>
      </fill>
    </dxf>
    <dxf>
      <numFmt numFmtId="177" formatCode="[=400000000000000000000]&quot;NoCalc&quot;;;"/>
    </dxf>
    <dxf>
      <fill>
        <patternFill>
          <bgColor theme="6"/>
        </patternFill>
      </fill>
    </dxf>
    <dxf>
      <numFmt numFmtId="177" formatCode="[=400000000000000000000]&quot;NoCalc&quot;;;"/>
    </dxf>
    <dxf>
      <numFmt numFmtId="178" formatCode="[=300000000000000000000]&quot;Correlated&quot;;;"/>
    </dxf>
    <dxf>
      <numFmt numFmtId="179" formatCode="[=200000000000000000000]&quot;Insufficient&quot;;;"/>
    </dxf>
    <dxf>
      <fill>
        <patternFill>
          <bgColor theme="6"/>
        </patternFill>
      </fill>
    </dxf>
    <dxf>
      <numFmt numFmtId="178" formatCode="[=300000000000000000000]&quot;Correlated&quot;;;"/>
    </dxf>
    <dxf>
      <numFmt numFmtId="179" formatCode="[=200000000000000000000]&quot;Insufficient&quot;;;"/>
    </dxf>
    <dxf>
      <numFmt numFmtId="177" formatCode="[=400000000000000000000]&quot;NoCalc&quot;;;"/>
    </dxf>
    <dxf>
      <numFmt numFmtId="179" formatCode="[=200000000000000000000]&quot;Insufficient&quot;;;"/>
    </dxf>
    <dxf>
      <numFmt numFmtId="178" formatCode="[=300000000000000000000]&quot;Correlated&quot;;;"/>
    </dxf>
    <dxf>
      <numFmt numFmtId="180" formatCode="[=1]&quot;Yes&quot;;;"/>
    </dxf>
    <dxf>
      <numFmt numFmtId="180" formatCode="[=1]&quot;Yes&quot;;;"/>
    </dxf>
    <dxf>
      <numFmt numFmtId="181" formatCode="[=0]&quot;No&quot;;;"/>
    </dxf>
    <dxf>
      <fill>
        <patternFill>
          <bgColor theme="6"/>
        </patternFill>
      </fill>
    </dxf>
    <dxf>
      <numFmt numFmtId="178" formatCode="[=300000000000000000000]&quot;Correlated&quot;;;"/>
    </dxf>
    <dxf>
      <numFmt numFmtId="179" formatCode="[=200000000000000000000]&quot;Insufficient&quot;;;"/>
    </dxf>
    <dxf>
      <numFmt numFmtId="182" formatCode="[&gt;100]&quot;Null&quot;;;"/>
    </dxf>
    <dxf>
      <numFmt numFmtId="177" formatCode="[=400000000000000000000]&quot;NoCalc&quot;;;"/>
    </dxf>
    <dxf>
      <numFmt numFmtId="177" formatCode="[=400000000000000000000]&quot;NoCalc&quot;;;"/>
    </dxf>
    <dxf>
      <numFmt numFmtId="177" formatCode="[=400000000000000000000]&quot;NoCalc&quot;;;"/>
    </dxf>
    <dxf>
      <numFmt numFmtId="177" formatCode="[=400000000000000000000]&quot;NoCalc&quot;;;"/>
    </dxf>
    <dxf>
      <numFmt numFmtId="180" formatCode="[=1]&quot;Yes&quot;;;"/>
      <border>
        <left/>
        <right/>
        <top/>
        <bottom/>
      </border>
    </dxf>
    <dxf>
      <numFmt numFmtId="181" formatCode="[=0]&quot;No&quot;;;"/>
      <fill>
        <patternFill patternType="solid">
          <fgColor auto="1"/>
          <bgColor theme="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78" formatCode="[=300000000000000000000]&quot;Correlated&quot;;;"/>
    </dxf>
    <dxf>
      <numFmt numFmtId="178" formatCode="[=300000000000000000000]&quot;Correlated&quot;;;"/>
    </dxf>
    <dxf>
      <numFmt numFmtId="179" formatCode="[=200000000000000000000]&quot;Insufficient&quot;;;"/>
    </dxf>
    <dxf>
      <numFmt numFmtId="179" formatCode="[=200000000000000000000]&quot;Insufficient&quot;;;"/>
    </dxf>
    <dxf>
      <numFmt numFmtId="183" formatCode="[=4]&quot;Days&quot;;;"/>
    </dxf>
    <dxf>
      <numFmt numFmtId="184" formatCode="[=1]&quot;Seconds&quot;;;"/>
    </dxf>
    <dxf>
      <numFmt numFmtId="185" formatCode="[=2]&quot;Minutes&quot;;;"/>
    </dxf>
    <dxf>
      <numFmt numFmtId="186" formatCode="[=3]&quot;Hours&quot;;;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</dxfs>
  <tableStyles count="0" defaultTableStyle="TableStyleMedium2" defaultPivotStyle="PivotStyleLight16"/>
  <colors>
    <mruColors>
      <color rgb="FF00AEEF"/>
      <color rgb="FFA7E8FF"/>
      <color rgb="FF5BD4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5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4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3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onnections" Target="connection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hiwei Pan" refreshedDate="45773.659027546295" createdVersion="7" refreshedVersion="8" minRefreshableVersion="3" recordCount="30" xr:uid="{B84A8B69-002E-494F-8DC0-5D2F7796C835}">
  <cacheSource type="worksheet">
    <worksheetSource name="DiscreteStatsTable"/>
  </cacheSource>
  <cacheFields count="25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5"/>
    </cacheField>
    <cacheField name="Name" numFmtId="0">
      <sharedItems containsBlank="1" count="100">
        <s v="Part"/>
        <m u="1"/>
        <s v="Manual.Queue" u="1"/>
        <s v="Load Mill 7.Queue" u="1"/>
        <s v="DPM SS Bin Blender 4.Queue" u="1"/>
        <s v="Process Packaging.Queue" u="1"/>
        <s v="Processing Post 1.Queue" u="1"/>
        <s v="Seize shared resource.Queue" u="1"/>
        <s v="Weighroom 7.Queue" u="1"/>
        <s v="e_batch" u="1"/>
        <s v="Servo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Load Mill.Queue" u="1"/>
        <s v="Peptone LS V Blender 3.Queue" u="1"/>
        <s v="Match 2.Queue1" u="1"/>
        <s v="Production Time" u="1"/>
        <s v="Weighroom 8.Queue" u="1"/>
        <s v="Process Part Type 1 on Prep1.Queue" u="1"/>
        <s v="Match 3.Queue1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Process Part Type 1 on Prep1" u="1"/>
        <s v="Peca" u="1"/>
        <s v="Load Mill 13.Queue" u="1"/>
        <s v="CIP V Blender 3.Queue" u="1"/>
        <s v="Match 2.Queue2" u="1"/>
        <s v="Match 5.Queue1" u="1"/>
        <s v="Processing Post 4.Queue" u="1"/>
        <s v="Tub Cleaning" u="1"/>
        <s v="Seize Pin Mill Weigh Room.Queue" u="1"/>
        <s v="CIP Large Pin.Queue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ally 1" u="1"/>
        <s v="ABFL.Queue" u="1"/>
        <s v="Match 4.Queue2" u="1"/>
        <s v="Match 7.Queue1" u="1"/>
        <s v="Load Mill 2.Queue" u="1"/>
        <s v="CIP V Blender 8.Queue" u="1"/>
        <s v="Peptone LS V Blender.Queue" u="1"/>
        <s v="Seize 40.Queue" u="1"/>
        <s v="Seize LS V Blender 8.Queue" u="1"/>
        <s v="Match 13.Queue2" u="1"/>
        <s v="Load Mill 10.Queue" u="1"/>
        <s v="Match 5.Queue2" u="1"/>
        <s v="Weighroom 2.Queue" u="1"/>
        <s v="Load Mill 15.Queue" u="1"/>
        <s v="Part Type 1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Seize Fitz Mill Weigh Room.Queue" u="1"/>
        <s v="Match 7.Queue2" u="1"/>
        <s v="Weighroom 3.Queue" u="1"/>
        <s v="Part Type 2" u="1"/>
        <s v="Match 11.Queue1" u="1"/>
        <s v="CIP Large Fitz.Queue" u="1"/>
        <s v="Load Mill 4.Queue" u="1"/>
        <s v="Load Mill 12.Queue" u="1"/>
        <s v="Process Packaging" u="1"/>
        <s v="Match 9.Queue2" u="1"/>
        <s v="Weighroom 4.Queue" u="1"/>
        <s v="Peptone SS Bin Blender 3.Queue" u="1"/>
        <s v="Load Mill 5.Queue" u="1"/>
        <s v="Processing Post 2.Queue" u="1"/>
        <s v="Seize Operator.Queue" u="1"/>
        <s v="Weighroom 5.Queue" u="1"/>
        <s v="Match 11.Queue2" u="1"/>
        <s v="Peptone LS Bin Blender 2.Queue" u="1"/>
        <s v="Peptone SS Bin Blender 2.Queue" u="1"/>
        <s v="DPM SS Bin Blender.Queue" u="1"/>
        <s v="Process Part Type 2 on Prep2.Queue" u="1"/>
        <s v="Load Mill 14.Queue" u="1"/>
        <s v="Record Cycle Time" u="1"/>
        <s v="Weighroom.Queue" u="1"/>
        <s v="Weighroom 6.Queue" u="1"/>
        <s v="Entity 1" u="1"/>
        <s v="Process Part Type 2 on Prep2" u="1"/>
      </sharedItems>
    </cacheField>
    <cacheField name="Type" numFmtId="0">
      <sharedItems containsBlank="1" count="12">
        <s v="NVA Time"/>
        <s v="Other Time"/>
        <s v="Total Time"/>
        <s v="Transfer Time"/>
        <s v="VA Time"/>
        <s v="Wait Time"/>
        <m u="1"/>
        <s v="Total Time Per Entity" u="1"/>
        <s v="VA Time Per Entity" u="1"/>
        <s v="Wait Time Per Entity" u="1"/>
        <s v="Interval" u="1"/>
        <s v="Waiting Time" u="1"/>
      </sharedItems>
    </cacheField>
    <cacheField name="Source" numFmtId="0">
      <sharedItems containsBlank="1" count="5">
        <s v="Entity"/>
        <m u="1"/>
        <s v="Queue" u="1"/>
        <s v="Process" u="1"/>
        <s v="User Specified" u="1"/>
      </sharedItems>
    </cacheField>
    <cacheField name="Average" numFmtId="0">
      <sharedItems containsSemiMixedTypes="0" containsString="0" containsNumber="1" minValue="0" maxValue="1.05658522318634"/>
    </cacheField>
    <cacheField name="BatchMeansHalfWidth" numFmtId="0">
      <sharedItems containsSemiMixedTypes="0" containsString="0" containsNumber="1" minValue="0" maxValue="3E+20"/>
    </cacheField>
    <cacheField name="Minimum" numFmtId="0">
      <sharedItems containsSemiMixedTypes="0" containsString="0" containsNumber="1" minValue="0" maxValue="0.36376030087740202"/>
    </cacheField>
    <cacheField name="Maximum" numFmtId="0">
      <sharedItems containsSemiMixedTypes="0" containsString="0" containsNumber="1" minValue="0" maxValue="1.8077917986534"/>
    </cacheField>
    <cacheField name="NumberObservations" numFmtId="0">
      <sharedItems containsSemiMixedTypes="0" containsString="0" containsNumber="1" containsInteger="1" minValue="5985" maxValue="6014"/>
    </cacheField>
    <cacheField name="GroupByKey" numFmtId="0">
      <sharedItems/>
    </cacheField>
    <cacheField name="RepsRequested" numFmtId="0">
      <sharedItems containsSemiMixedTypes="0" containsString="0" containsNumber="1" containsInteger="1" minValue="5" maxValue="5"/>
    </cacheField>
    <cacheField name="AverageOfAverage" numFmtId="0">
      <sharedItems containsSemiMixedTypes="0" containsString="0" containsNumber="1" minValue="0" maxValue="1.0525621799284077"/>
    </cacheField>
    <cacheField name="StDevOfAverage" numFmtId="0">
      <sharedItems containsSemiMixedTypes="0" containsString="0" containsNumber="1" minValue="0" maxValue="3.067158552326994E-3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0" maxValue="3.8083803512072032E-3"/>
    </cacheField>
    <cacheField name="MinimumAverage" numFmtId="0">
      <sharedItems containsSemiMixedTypes="0" containsString="0" containsNumber="1" minValue="0" maxValue="1.04817101181257"/>
    </cacheField>
    <cacheField name="MaximumAverage" numFmtId="0">
      <sharedItems containsSemiMixedTypes="0" containsString="0" containsNumber="1" minValue="0" maxValue="1.05658522318634"/>
    </cacheField>
    <cacheField name="OverallMinimum" numFmtId="0">
      <sharedItems containsSemiMixedTypes="0" containsString="0" containsNumber="1" minValue="0" maxValue="0.22718674792668"/>
    </cacheField>
    <cacheField name="OverallMaximum" numFmtId="0">
      <sharedItems containsSemiMixedTypes="0" containsString="0" containsNumber="1" minValue="0" maxValue="1.8077917986534"/>
    </cacheField>
    <cacheField name="AverageNumberObservations" numFmtId="0">
      <sharedItems containsSemiMixedTypes="0" containsString="0" containsNumber="1" minValue="5994.2" maxValue="5994.2"/>
    </cacheField>
    <cacheField name="SummaryHalfWidth" numFmtId="0">
      <sharedItems containsSemiMixedTypes="0" containsString="0" containsNumber="1" minValue="0" maxValue="3.8083803512072032E-3"/>
    </cacheField>
    <cacheField name="RepsWithStatObserved" numFmtId="0">
      <sharedItems containsSemiMixedTypes="0" containsString="0" containsNumber="1" containsInteger="1" minValue="5" maxValue="5"/>
    </cacheField>
    <cacheField name="Observed=Requested" numFmtId="0">
      <sharedItems containsSemiMixedTypes="0" containsString="0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hiwei Pan" refreshedDate="45773.65902777778" createdVersion="7" refreshedVersion="8" minRefreshableVersion="3" recordCount="15" xr:uid="{CD99054F-849B-4F05-A210-6C45A1A34EDA}">
  <cacheSource type="worksheet">
    <worksheetSource name="OutputTable"/>
  </cacheSource>
  <cacheFields count="16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5"/>
    </cacheField>
    <cacheField name="Name" numFmtId="0">
      <sharedItems containsBlank="1" count="81">
        <s v="Part.NumberIn"/>
        <s v="Part.NumberOut"/>
        <s v="System.NumberOut"/>
        <m u="1"/>
        <s v="Operator 1.ScheduledUtilization" u="1"/>
        <s v="Operator 2.ScheduledUtilization" u="1"/>
        <s v="Operator 3.ScheduledUtilization" u="1"/>
        <s v="Operator 4.ScheduledUtilization" u="1"/>
        <s v="Tub Cleaning Accum VA Time" u="1"/>
        <s v="r_largefitzmill.NumberSeized" u="1"/>
        <s v="r_smallfitzmill.NumberSeized" u="1"/>
        <s v="Machine.ScheduledUtilization" u="1"/>
        <s v="Process Part Type 1 on Prep1 Accum Wait Time" u="1"/>
        <s v="Process Part Type 2 on Prep2 Accum Wait Time" u="1"/>
        <s v="Packaging Machine.ScheduledUtilization" u="1"/>
        <s v="r_vblender.ScheduledUtilization" u="1"/>
        <s v="Tub Cleaning Number Out" u="1"/>
        <s v="Process Packaging Number In" u="1"/>
        <s v="Peca.NumberOut" u="1"/>
        <s v="r_CIP.ScheduledUtilization" u="1"/>
        <s v="r Shared.ScheduledUtilization" u="1"/>
        <s v="r_CIP.NumberSeized" u="1"/>
        <s v="Resource 1.ScheduledUtilization" u="1"/>
        <s v="Part Type 1.NumberOut" u="1"/>
        <s v="Part Type 2.NumberOut" u="1"/>
        <s v="r Shared.NumberSeized" u="1"/>
        <s v="Tub Cleaning Number In" u="1"/>
        <s v="r_largefitzmill.ScheduledUtilization" u="1"/>
        <s v="Operator 1.NumberSeized" u="1"/>
        <s v="Operator 2.NumberSeized" u="1"/>
        <s v="Operator 3.NumberSeized" u="1"/>
        <s v="Operator 4.NumberSeized" u="1"/>
        <s v="r_weighroom135.NumberSeized" u="1"/>
        <s v="r_weighroom203.NumberSeized" u="1"/>
        <s v="r_weighroom204.NumberSeized" u="1"/>
        <s v="r_weighroom207.NumberSeized" u="1"/>
        <s v="r_weighroom208.NumberSeized" u="1"/>
        <s v="r_smallfitzmill.ScheduledUtilization" u="1"/>
        <s v="r Prep1.ScheduledUtilization" u="1"/>
        <s v="r Prep2.ScheduledUtilization" u="1"/>
        <s v="r_largepinmill.NumberSeized" u="1"/>
        <s v="r_smallpinmill.NumberSeized" u="1"/>
        <s v="Tub Cleaning Accum Wait Time" u="1"/>
        <s v="Machine.NumberSeized" u="1"/>
        <s v="r_vblender.NumberSeized" u="1"/>
        <s v="Process Part Type 1 on Prep1 Accum VA Time" u="1"/>
        <s v="Process Part Type 2 on Prep2 Accum VA Time" u="1"/>
        <s v="Resource 1.NumberSeized" u="1"/>
        <s v="Packaging Machine.NumberSeized" u="1"/>
        <s v="E 1.NumberOut" u="1"/>
        <s v="Operator.ScheduledUtilization" u="1"/>
        <s v="E 2.NumberOut" u="1"/>
        <s v="r_weighroom135.ScheduledUtilization" u="1"/>
        <s v="r_weighroom203.ScheduledUtilization" u="1"/>
        <s v="r_weighroom204.ScheduledUtilization" u="1"/>
        <s v="r_weighroom207.ScheduledUtilization" u="1"/>
        <s v="r_weighroom208.ScheduledUtilization" u="1"/>
        <s v="Process Packaging Accum VA Time" u="1"/>
        <s v="Part Type 1.NumberIn" u="1"/>
        <s v="Part Type 2.NumberIn" u="1"/>
        <s v="Operator.NumberSeized" u="1"/>
        <s v="r_largepinmill.ScheduledUtilization" u="1"/>
        <s v="E 1.NumberIn" u="1"/>
        <s v="Peca.NumberIn" u="1"/>
        <s v="r_binblender.NumberSeized" u="1"/>
        <s v="r_smallpinmill.ScheduledUtilization" u="1"/>
        <s v="E 2.NumberIn" u="1"/>
        <s v="Entity 1.NumberIn" u="1"/>
        <s v="r Prep1.NumberSeized" u="1"/>
        <s v="r Prep2.NumberSeized" u="1"/>
        <s v="Process Part Type 1 on Prep1 Number Out" u="1"/>
        <s v="Process Part Type 2 on Prep2 Number Out" u="1"/>
        <s v="e_batch.NumberOut" u="1"/>
        <s v="r_binblender.ScheduledUtilization" u="1"/>
        <s v="Entity 1.NumberOut" u="1"/>
        <s v="Process Part Type 1 on Prep1 Number In" u="1"/>
        <s v="Process Part Type 2 on Prep2 Number In" u="1"/>
        <s v="Process Packaging Accum Wait Time" u="1"/>
        <s v="r_operator.NumberSeized" u="1"/>
        <s v="e_batch.NumberIn" u="1"/>
        <s v="Process Packaging Number Out" u="1"/>
      </sharedItems>
    </cacheField>
    <cacheField name="Type" numFmtId="0">
      <sharedItems containsBlank="1" count="7">
        <s v="Number In"/>
        <s v="Number Out"/>
        <m u="1"/>
        <s v="Scheduled Utilization" u="1"/>
        <s v="Total Number Seized" u="1"/>
        <s v="Accum VA Time" u="1"/>
        <s v="Accum Wait Time" u="1"/>
      </sharedItems>
    </cacheField>
    <cacheField name="Source" numFmtId="0">
      <sharedItems containsBlank="1" count="5">
        <s v="Entity"/>
        <s v="System"/>
        <m u="1"/>
        <s v="Resource" u="1"/>
        <s v="Process" u="1"/>
      </sharedItems>
    </cacheField>
    <cacheField name="RecordedValue" numFmtId="0">
      <sharedItems containsSemiMixedTypes="0" containsString="0" containsNumber="1" containsInteger="1" minValue="5985" maxValue="6014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5" maxValue="5"/>
    </cacheField>
    <cacheField name="Average" numFmtId="0">
      <sharedItems containsSemiMixedTypes="0" containsString="0" containsNumber="1" minValue="5994.2" maxValue="5994.4"/>
    </cacheField>
    <cacheField name="StandardDeviation" numFmtId="0">
      <sharedItems containsSemiMixedTypes="0" containsString="0" containsNumber="1" minValue="11.349008767288886" maxValue="11.388590782006348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14.091655601641488" maxValue="14.140803164292532"/>
    </cacheField>
    <cacheField name="Minimum" numFmtId="0">
      <sharedItems containsSemiMixedTypes="0" containsString="0" containsNumber="1" containsInteger="1" minValue="5985" maxValue="5985"/>
    </cacheField>
    <cacheField name="Maximum" numFmtId="0">
      <sharedItems containsSemiMixedTypes="0" containsString="0" containsNumber="1" containsInteger="1" minValue="6014" maxValue="601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hiwei Pan" refreshedDate="45773.659028240741" createdVersion="7" refreshedVersion="8" minRefreshableVersion="3" recordCount="1" xr:uid="{DF450723-E9F2-474F-BBF6-B62098E6DD50}">
  <cacheSource type="worksheet">
    <worksheetSource name="CountersTable"/>
  </cacheSource>
  <cacheFields count="15">
    <cacheField name="ProjectName" numFmtId="0">
      <sharedItems containsNonDate="0" containsBlank="1" count="3">
        <m/>
        <s v="Assembly Line" u="1"/>
        <s v="All Statistic Types 1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4">
        <m/>
        <s v="Counter 2" u="1"/>
        <s v="Counter 1" u="1"/>
        <s v="Count Products" u="1"/>
      </sharedItems>
    </cacheField>
    <cacheField name="Type" numFmtId="0">
      <sharedItems containsNonDate="0" containsBlank="1" count="2">
        <m/>
        <s v="Count" u="1"/>
      </sharedItems>
    </cacheField>
    <cacheField name="Source" numFmtId="0">
      <sharedItems containsNonDate="0" containsBlank="1" count="2">
        <m/>
        <s v="User Specified" u="1"/>
      </sharedItems>
    </cacheField>
    <cacheField name="RecordedValue" numFmtId="0">
      <sharedItems containsNonDate="0" containsString="0" containsBlank="1"/>
    </cacheField>
    <cacheField name="GroupByKey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" numFmtId="0">
      <sharedItems containsNonDate="0" containsString="0" containsBlank="1"/>
    </cacheField>
    <cacheField name="StandardDeviation" numFmtId="0">
      <sharedItems containsNonDate="0" containsString="0" containsBlank="1"/>
    </cacheField>
    <cacheField name="ConfidenceInterval" numFmtId="0">
      <sharedItems containsNonDate="0" containsString="0" containsBlank="1"/>
    </cacheField>
    <cacheField name="HalfWidth" numFmtId="0">
      <sharedItems containsNonDate="0" containsString="0" containsBlank="1"/>
    </cacheField>
    <cacheField name="Minimum" numFmtId="0">
      <sharedItems containsNonDate="0" containsString="0" containsBlank="1"/>
    </cacheField>
    <cacheField name="Maximum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hiwei Pan" refreshedDate="45773.659028472219" createdVersion="7" refreshedVersion="8" minRefreshableVersion="3" recordCount="5" xr:uid="{98BDAE34-4484-421D-B96E-804CE77A1811}">
  <cacheSource type="worksheet">
    <worksheetSource name="ContinuousStatsTable"/>
  </cacheSource>
  <cacheFields count="21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5"/>
    </cacheField>
    <cacheField name="Name" numFmtId="0">
      <sharedItems containsBlank="1" count="125">
        <s v="Part"/>
        <m u="1"/>
        <s v="Manual.Queue" u="1"/>
        <s v="Load Mill 7.Queue" u="1"/>
        <s v="DPM SS Bin Blender 4.Queue" u="1"/>
        <s v="Process Packaging.Queue" u="1"/>
        <s v="r Prep1" u="1"/>
        <s v="Operator 1" u="1"/>
        <s v="Processing Post 1.Queue" u="1"/>
        <s v="Seize shared resource.Queue" u="1"/>
        <s v="Weighroom 7.Queue" u="1"/>
        <s v="e_batch" u="1"/>
        <s v="r Prep2" u="1"/>
        <s v="Servo.Queue" u="1"/>
        <s v="r_largepinmill" u="1"/>
        <s v="Load Mill 11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Operator 2" u="1"/>
        <s v="Load Mill.Queue" u="1"/>
        <s v="Peptone LS V Blender 3.Queue" u="1"/>
        <s v="Machine" u="1"/>
        <s v="Match 2.Queue1" u="1"/>
        <s v="DPM SS Bin Blender 2.Queue" u="1"/>
        <s v="Weighroom 8.Queue" u="1"/>
        <s v="Packaging Machine" u="1"/>
        <s v="Process Part Type 1 on Prep1.Queue" u="1"/>
        <s v="Operator 3" u="1"/>
        <s v="Match 3.Queue1" u="1"/>
        <s v="Peptone LS V Blender 6.Queue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r_weighroom207" u="1"/>
        <s v="Peca" u="1"/>
        <s v="Operator 4" u="1"/>
        <s v="Load Mill 13.Queue" u="1"/>
        <s v="CIP V Blender 3.Queue" u="1"/>
        <s v="Match 2.Queue2" u="1"/>
        <s v="Match 5.Queue1" u="1"/>
        <s v="Processing Post 4.Queue" u="1"/>
        <s v="r_smallpinmill" u="1"/>
        <s v="Seize Pin Mill Weigh Room.Queue" u="1"/>
        <s v="CIP Large Pin.Queue" u="1"/>
        <s v="r_binblender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ub Level" u="1"/>
        <s v="ABFL.Queue" u="1"/>
        <s v="Match 4.Queue2" u="1"/>
        <s v="Match 7.Queue1" u="1"/>
        <s v="r_weighroom208" u="1"/>
        <s v="Load Mill 2.Queue" u="1"/>
        <s v="CIP V Blender 8.Queue" u="1"/>
        <s v="r_largefitzmill" u="1"/>
        <s v="Peptone LS V Blender.Queue" u="1"/>
        <s v="r_weighroom135" u="1"/>
        <s v="Seize 40.Queue" u="1"/>
        <s v="Seize LS V Blender 8.Queue" u="1"/>
        <s v="Match 13.Queue2" u="1"/>
        <s v="Load Mill 10.Queue" u="1"/>
        <s v="Match 5.Queue2" u="1"/>
        <s v="Match 8.Queue1" u="1"/>
        <s v="Weighroom 2.Queue" u="1"/>
        <s v="r_CIP" u="1"/>
        <s v="Load Mill 15.Queue" u="1"/>
        <s v="Part Type 1" u="1"/>
        <s v="r Shared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r_weighroom203" u="1"/>
        <s v="Seize Fitz Mill Weigh Room.Queue" u="1"/>
        <s v="Match 7.Queue2" u="1"/>
        <s v="Weighroom 3.Queue" u="1"/>
        <s v="Part Type 2" u="1"/>
        <s v="Match 11.Queue1" u="1"/>
        <s v="CIP Large Fitz.Queue" u="1"/>
        <s v="Match 8.Queue2" u="1"/>
        <s v="Load Mill 4.Queue" u="1"/>
        <s v="Load Mill 12.Queue" u="1"/>
        <s v="r_smallfitzmill" u="1"/>
        <s v="Match 9.Queue2" u="1"/>
        <s v="Weighroom 4.Queue" u="1"/>
        <s v="Peptone LS Bin Blender 3.Queue" u="1"/>
        <s v="Peptone SS Bin Blender 3.Queue" u="1"/>
        <s v="r_weighroom204" u="1"/>
        <s v="Load Mill 5.Queue" u="1"/>
        <s v="Operator" u="1"/>
        <s v="Processing Post 2.Queue" u="1"/>
        <s v="Seize Operator.Queue" u="1"/>
        <s v="Weighroom 5.Queue" u="1"/>
        <s v="r_vblender" u="1"/>
        <s v="Match 11.Queue2" u="1"/>
        <s v="Peptone LS Bin Blender 2.Queue" u="1"/>
        <s v="Peptone SS Bin Blender 2.Queue" u="1"/>
        <s v="Load Mill 6.Queue" u="1"/>
        <s v="DPM SS Bin Blender.Queue" u="1"/>
        <s v="Process Part Type 2 on Prep2.Queue" u="1"/>
        <s v="Load Mill 14.Queue" u="1"/>
        <s v="r_operator" u="1"/>
        <s v="Weighroom.Queue" u="1"/>
        <s v="Weighroom 6.Queue" u="1"/>
        <s v="Entity 1" u="1"/>
        <s v="Resource 1" u="1"/>
      </sharedItems>
    </cacheField>
    <cacheField name="Type" numFmtId="0">
      <sharedItems containsBlank="1" count="7">
        <s v="WIP"/>
        <m u="1"/>
        <s v="Number Scheduled" u="1"/>
        <s v="Number Busy" u="1"/>
        <s v="Levels" u="1"/>
        <s v="Instantaneous Utilization" u="1"/>
        <s v="Number Waiting" u="1"/>
      </sharedItems>
    </cacheField>
    <cacheField name="Source" numFmtId="0">
      <sharedItems containsBlank="1" count="5">
        <s v="Entity"/>
        <m u="1"/>
        <s v="Queue" u="1"/>
        <s v="Resource" u="1"/>
        <s v="User Specified" u="1"/>
      </sharedItems>
    </cacheField>
    <cacheField name="Average" numFmtId="0">
      <sharedItems containsSemiMixedTypes="0" containsString="0" containsNumber="1" minValue="0.69779527147015896" maxValue="0.70268495822544996"/>
    </cacheField>
    <cacheField name="BatchMeansHalfWidth" numFmtId="0">
      <sharedItems containsSemiMixedTypes="0" containsString="0" containsNumber="1" minValue="4.2651414462296601E-3" maxValue="5.3494909267181798E-3"/>
    </cacheField>
    <cacheField name="Minimum" numFmtId="0">
      <sharedItems containsSemiMixedTypes="0" containsString="0" containsNumber="1" containsInteger="1" minValue="0" maxValue="0"/>
    </cacheField>
    <cacheField name="Maximum" numFmtId="0">
      <sharedItems containsSemiMixedTypes="0" containsString="0" containsNumber="1" containsInteger="1" minValue="2" maxValue="2"/>
    </cacheField>
    <cacheField name="LastRecordedValue" numFmtId="0">
      <sharedItems containsSemiMixedTypes="0" containsString="0" containsNumber="1" containsInteger="1" minValue="1" maxValue="1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5" maxValue="5"/>
    </cacheField>
    <cacheField name="AverageOfAverage" numFmtId="0">
      <sharedItems containsSemiMixedTypes="0" containsString="0" containsNumber="1" minValue="0.70107130518471239" maxValue="0.70107130518471239"/>
    </cacheField>
    <cacheField name="StDevOfAverage" numFmtId="0">
      <sharedItems containsSemiMixedTypes="0" containsString="0" containsNumber="1" minValue="1.9965792445353014E-3" maxValue="1.9965792445353014E-3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2.4790805675003525E-3" maxValue="2.4790805675003525E-3"/>
    </cacheField>
    <cacheField name="MinimumAverage" numFmtId="0">
      <sharedItems containsSemiMixedTypes="0" containsString="0" containsNumber="1" minValue="0.69779527147015896" maxValue="0.69779527147015896"/>
    </cacheField>
    <cacheField name="MaximumAverage" numFmtId="0">
      <sharedItems containsSemiMixedTypes="0" containsString="0" containsNumber="1" minValue="0.70268495822544996" maxValue="0.70268495822544996"/>
    </cacheField>
    <cacheField name="SummaryHalfWidth" numFmtId="0">
      <sharedItems containsSemiMixedTypes="0" containsString="0" containsNumber="1" minValue="2.4790805675003525E-3" maxValue="2.4790805675003525E-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hiwei Pan" refreshedDate="45773.659028703703" createdVersion="7" refreshedVersion="8" minRefreshableVersion="3" recordCount="1" xr:uid="{9A30BE60-1A18-409A-BDB2-1FBA5F928A4C}">
  <cacheSource type="worksheet">
    <worksheetSource name="FrequencyTable"/>
  </cacheSource>
  <cacheFields count="17">
    <cacheField name="ProjectName" numFmtId="0">
      <sharedItems containsNonDate="0" containsBlank="1" count="3">
        <m/>
        <s v="All Statistic Types 1" u="1"/>
        <s v="Unnamed Project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7">
        <m/>
        <s v="Prep 1 Freq s3" u="1"/>
        <s v="VarVal" u="1"/>
        <s v="Prep 1 Frequency" u="1"/>
        <s v="Prep 2 Frequency" u="1"/>
        <s v="Prep 1 Freq s1" u="1"/>
        <s v="Prep 1 Freq s2" u="1"/>
      </sharedItems>
    </cacheField>
    <cacheField name="Category" numFmtId="0">
      <sharedItems containsNonDate="0" containsBlank="1" count="9">
        <m/>
        <s v="waiting" u="1"/>
        <s v="Constant(1)" u="1"/>
        <s v="Constant(2)" u="1"/>
        <s v="idle" u="1"/>
        <s v="Constant(3)" u="1"/>
        <s v="busy" u="1"/>
        <s v="Constant(4)" u="1"/>
        <s v="Constant(5)" u="1"/>
      </sharedItems>
    </cacheField>
    <cacheField name="Source" numFmtId="0">
      <sharedItems containsNonDate="0" containsBlank="1" count="2">
        <m/>
        <s v="User Specified" u="1"/>
      </sharedItems>
    </cacheField>
    <cacheField name="StandardPercentage" numFmtId="0">
      <sharedItems containsNonDate="0" containsString="0" containsBlank="1"/>
    </cacheField>
    <cacheField name="RestrictedPercentage" numFmtId="0">
      <sharedItems containsNonDate="0" containsString="0" containsBlank="1"/>
    </cacheField>
    <cacheField name="AverageTimeInCategory" numFmtId="0">
      <sharedItems containsNonDate="0" containsString="0" containsBlank="1"/>
    </cacheField>
    <cacheField name="FrequencyCategoryCount" numFmtId="0">
      <sharedItems containsNonDate="0" containsString="0" containsBlank="1"/>
    </cacheField>
    <cacheField name="IncludeOption" numFmtId="0">
      <sharedItems containsNonDate="0" containsString="0" containsBlank="1"/>
    </cacheField>
    <cacheField name="GroupByKey" numFmtId="0">
      <sharedItems containsNonDate="0" containsString="0" containsBlank="1"/>
    </cacheField>
    <cacheField name="SummaryStandardPercentage" numFmtId="0">
      <sharedItems containsNonDate="0" containsString="0" containsBlank="1"/>
    </cacheField>
    <cacheField name="SummaryRestrictedPercentage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StandardPercentage" numFmtId="0">
      <sharedItems containsNonDate="0" containsString="0" containsBlank="1"/>
    </cacheField>
    <cacheField name="AverageRestrictedPercentag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">
  <r>
    <x v="0"/>
    <s v="2025-04-26 15:48:51"/>
    <n v="1"/>
    <x v="0"/>
    <x v="0"/>
    <x v="0"/>
    <n v="0"/>
    <n v="0"/>
    <n v="0"/>
    <n v="0"/>
    <n v="5992"/>
    <s v="Unnamed ProjectPartNVA TimeEntity"/>
    <n v="5"/>
    <n v="0"/>
    <n v="0"/>
    <n v="0.95"/>
    <n v="0"/>
    <n v="0"/>
    <n v="0"/>
    <n v="0"/>
    <n v="0"/>
    <n v="5994.2"/>
    <n v="0"/>
    <n v="5"/>
    <n v="1"/>
  </r>
  <r>
    <x v="0"/>
    <s v="2025-04-26 15:48:51"/>
    <n v="1"/>
    <x v="0"/>
    <x v="1"/>
    <x v="0"/>
    <n v="0"/>
    <n v="0"/>
    <n v="0"/>
    <n v="0"/>
    <n v="5992"/>
    <s v="Unnamed ProjectPartOther TimeEntity"/>
    <n v="5"/>
    <n v="0"/>
    <n v="0"/>
    <n v="0.95"/>
    <n v="0"/>
    <n v="0"/>
    <n v="0"/>
    <n v="0"/>
    <n v="0"/>
    <n v="5994.2"/>
    <n v="0"/>
    <n v="5"/>
    <n v="1"/>
  </r>
  <r>
    <x v="0"/>
    <s v="2025-04-26 15:48:51"/>
    <n v="1"/>
    <x v="0"/>
    <x v="2"/>
    <x v="0"/>
    <n v="1.05282031858137"/>
    <n v="3E+20"/>
    <n v="0.34246530681866699"/>
    <n v="1.78453084959256"/>
    <n v="5992"/>
    <s v="Unnamed ProjectPartTotal TimeEntity"/>
    <n v="5"/>
    <n v="1.0525621799284077"/>
    <n v="3.067158552326994E-3"/>
    <n v="0.95"/>
    <n v="3.8083803512072032E-3"/>
    <n v="1.04817101181257"/>
    <n v="1.05658522318634"/>
    <n v="0.22718674792668"/>
    <n v="1.8077917986534"/>
    <n v="5994.2"/>
    <n v="3.8083803512072032E-3"/>
    <n v="5"/>
    <n v="1"/>
  </r>
  <r>
    <x v="0"/>
    <s v="2025-04-26 15:48:51"/>
    <n v="1"/>
    <x v="0"/>
    <x v="3"/>
    <x v="0"/>
    <n v="0"/>
    <n v="0"/>
    <n v="0"/>
    <n v="0"/>
    <n v="5992"/>
    <s v="Unnamed ProjectPartTransfer TimeEntity"/>
    <n v="5"/>
    <n v="0"/>
    <n v="0"/>
    <n v="0.95"/>
    <n v="0"/>
    <n v="0"/>
    <n v="0"/>
    <n v="0"/>
    <n v="0"/>
    <n v="5994.2"/>
    <n v="0"/>
    <n v="5"/>
    <n v="1"/>
  </r>
  <r>
    <x v="0"/>
    <s v="2025-04-26 15:48:51"/>
    <n v="1"/>
    <x v="0"/>
    <x v="4"/>
    <x v="0"/>
    <n v="1.05282031858137"/>
    <n v="3E+20"/>
    <n v="0.34246530681866699"/>
    <n v="1.78453084959256"/>
    <n v="5992"/>
    <s v="Unnamed ProjectPartVA TimeEntity"/>
    <n v="5"/>
    <n v="1.0525621799284077"/>
    <n v="3.067158552326994E-3"/>
    <n v="0.95"/>
    <n v="3.8083803512072032E-3"/>
    <n v="1.04817101181257"/>
    <n v="1.05658522318634"/>
    <n v="0.22718674792668"/>
    <n v="1.8077917986534"/>
    <n v="5994.2"/>
    <n v="3.8083803512072032E-3"/>
    <n v="5"/>
    <n v="1"/>
  </r>
  <r>
    <x v="0"/>
    <s v="2025-04-26 15:48:51"/>
    <n v="1"/>
    <x v="0"/>
    <x v="5"/>
    <x v="0"/>
    <n v="0"/>
    <n v="0"/>
    <n v="0"/>
    <n v="0"/>
    <n v="5992"/>
    <s v="Unnamed ProjectPartWait TimeEntity"/>
    <n v="5"/>
    <n v="0"/>
    <n v="0"/>
    <n v="0.95"/>
    <n v="0"/>
    <n v="0"/>
    <n v="0"/>
    <n v="0"/>
    <n v="0"/>
    <n v="5994.2"/>
    <n v="0"/>
    <n v="5"/>
    <n v="1"/>
  </r>
  <r>
    <x v="0"/>
    <s v="2025-04-26 15:48:51"/>
    <n v="2"/>
    <x v="0"/>
    <x v="0"/>
    <x v="0"/>
    <n v="0"/>
    <n v="0"/>
    <n v="0"/>
    <n v="0"/>
    <n v="5989"/>
    <s v="Unnamed ProjectPartNVA TimeEntity"/>
    <n v="5"/>
    <n v="0"/>
    <n v="0"/>
    <n v="0.95"/>
    <n v="0"/>
    <n v="0"/>
    <n v="0"/>
    <n v="0"/>
    <n v="0"/>
    <n v="5994.2"/>
    <n v="0"/>
    <n v="5"/>
    <n v="1"/>
  </r>
  <r>
    <x v="0"/>
    <s v="2025-04-26 15:48:51"/>
    <n v="2"/>
    <x v="0"/>
    <x v="1"/>
    <x v="0"/>
    <n v="0"/>
    <n v="0"/>
    <n v="0"/>
    <n v="0"/>
    <n v="5989"/>
    <s v="Unnamed ProjectPartOther TimeEntity"/>
    <n v="5"/>
    <n v="0"/>
    <n v="0"/>
    <n v="0.95"/>
    <n v="0"/>
    <n v="0"/>
    <n v="0"/>
    <n v="0"/>
    <n v="0"/>
    <n v="5994.2"/>
    <n v="0"/>
    <n v="5"/>
    <n v="1"/>
  </r>
  <r>
    <x v="0"/>
    <s v="2025-04-26 15:48:51"/>
    <n v="2"/>
    <x v="0"/>
    <x v="2"/>
    <x v="0"/>
    <n v="1.05363940779279"/>
    <n v="4.8541502323881701E-3"/>
    <n v="0.26630265227140598"/>
    <n v="1.8077917986534"/>
    <n v="5989"/>
    <s v="Unnamed ProjectPartTotal TimeEntity"/>
    <n v="5"/>
    <n v="1.0525621799284077"/>
    <n v="3.067158552326994E-3"/>
    <n v="0.95"/>
    <n v="3.8083803512072032E-3"/>
    <n v="1.04817101181257"/>
    <n v="1.05658522318634"/>
    <n v="0.22718674792668"/>
    <n v="1.8077917986534"/>
    <n v="5994.2"/>
    <n v="3.8083803512072032E-3"/>
    <n v="5"/>
    <n v="1"/>
  </r>
  <r>
    <x v="0"/>
    <s v="2025-04-26 15:48:51"/>
    <n v="2"/>
    <x v="0"/>
    <x v="3"/>
    <x v="0"/>
    <n v="0"/>
    <n v="0"/>
    <n v="0"/>
    <n v="0"/>
    <n v="5989"/>
    <s v="Unnamed ProjectPartTransfer TimeEntity"/>
    <n v="5"/>
    <n v="0"/>
    <n v="0"/>
    <n v="0.95"/>
    <n v="0"/>
    <n v="0"/>
    <n v="0"/>
    <n v="0"/>
    <n v="0"/>
    <n v="5994.2"/>
    <n v="0"/>
    <n v="5"/>
    <n v="1"/>
  </r>
  <r>
    <x v="0"/>
    <s v="2025-04-26 15:48:51"/>
    <n v="2"/>
    <x v="0"/>
    <x v="4"/>
    <x v="0"/>
    <n v="1.05363940779279"/>
    <n v="4.8541502323881701E-3"/>
    <n v="0.26630265227140598"/>
    <n v="1.8077917986534"/>
    <n v="5989"/>
    <s v="Unnamed ProjectPartVA TimeEntity"/>
    <n v="5"/>
    <n v="1.0525621799284077"/>
    <n v="3.067158552326994E-3"/>
    <n v="0.95"/>
    <n v="3.8083803512072032E-3"/>
    <n v="1.04817101181257"/>
    <n v="1.05658522318634"/>
    <n v="0.22718674792668"/>
    <n v="1.8077917986534"/>
    <n v="5994.2"/>
    <n v="3.8083803512072032E-3"/>
    <n v="5"/>
    <n v="1"/>
  </r>
  <r>
    <x v="0"/>
    <s v="2025-04-26 15:48:51"/>
    <n v="2"/>
    <x v="0"/>
    <x v="5"/>
    <x v="0"/>
    <n v="0"/>
    <n v="0"/>
    <n v="0"/>
    <n v="0"/>
    <n v="5989"/>
    <s v="Unnamed ProjectPartWait TimeEntity"/>
    <n v="5"/>
    <n v="0"/>
    <n v="0"/>
    <n v="0.95"/>
    <n v="0"/>
    <n v="0"/>
    <n v="0"/>
    <n v="0"/>
    <n v="0"/>
    <n v="5994.2"/>
    <n v="0"/>
    <n v="5"/>
    <n v="1"/>
  </r>
  <r>
    <x v="0"/>
    <s v="2025-04-26 15:48:51"/>
    <n v="3"/>
    <x v="0"/>
    <x v="0"/>
    <x v="0"/>
    <n v="0"/>
    <n v="0"/>
    <n v="0"/>
    <n v="0"/>
    <n v="6014"/>
    <s v="Unnamed ProjectPartNVA TimeEntity"/>
    <n v="5"/>
    <n v="0"/>
    <n v="0"/>
    <n v="0.95"/>
    <n v="0"/>
    <n v="0"/>
    <n v="0"/>
    <n v="0"/>
    <n v="0"/>
    <n v="5994.2"/>
    <n v="0"/>
    <n v="5"/>
    <n v="1"/>
  </r>
  <r>
    <x v="0"/>
    <s v="2025-04-26 15:48:51"/>
    <n v="3"/>
    <x v="0"/>
    <x v="1"/>
    <x v="0"/>
    <n v="0"/>
    <n v="0"/>
    <n v="0"/>
    <n v="0"/>
    <n v="6014"/>
    <s v="Unnamed ProjectPartOther TimeEntity"/>
    <n v="5"/>
    <n v="0"/>
    <n v="0"/>
    <n v="0.95"/>
    <n v="0"/>
    <n v="0"/>
    <n v="0"/>
    <n v="0"/>
    <n v="0"/>
    <n v="5994.2"/>
    <n v="0"/>
    <n v="5"/>
    <n v="1"/>
  </r>
  <r>
    <x v="0"/>
    <s v="2025-04-26 15:48:51"/>
    <n v="3"/>
    <x v="0"/>
    <x v="2"/>
    <x v="0"/>
    <n v="1.05159493826897"/>
    <n v="5.0449672781764498E-3"/>
    <n v="0.36376030087740202"/>
    <n v="1.7219699602474099"/>
    <n v="6014"/>
    <s v="Unnamed ProjectPartTotal TimeEntity"/>
    <n v="5"/>
    <n v="1.0525621799284077"/>
    <n v="3.067158552326994E-3"/>
    <n v="0.95"/>
    <n v="3.8083803512072032E-3"/>
    <n v="1.04817101181257"/>
    <n v="1.05658522318634"/>
    <n v="0.22718674792668"/>
    <n v="1.8077917986534"/>
    <n v="5994.2"/>
    <n v="3.8083803512072032E-3"/>
    <n v="5"/>
    <n v="1"/>
  </r>
  <r>
    <x v="0"/>
    <s v="2025-04-26 15:48:51"/>
    <n v="3"/>
    <x v="0"/>
    <x v="3"/>
    <x v="0"/>
    <n v="0"/>
    <n v="0"/>
    <n v="0"/>
    <n v="0"/>
    <n v="6014"/>
    <s v="Unnamed ProjectPartTransfer TimeEntity"/>
    <n v="5"/>
    <n v="0"/>
    <n v="0"/>
    <n v="0.95"/>
    <n v="0"/>
    <n v="0"/>
    <n v="0"/>
    <n v="0"/>
    <n v="0"/>
    <n v="5994.2"/>
    <n v="0"/>
    <n v="5"/>
    <n v="1"/>
  </r>
  <r>
    <x v="0"/>
    <s v="2025-04-26 15:48:51"/>
    <n v="3"/>
    <x v="0"/>
    <x v="4"/>
    <x v="0"/>
    <n v="1.05159493826897"/>
    <n v="5.0449672781764498E-3"/>
    <n v="0.36376030087740202"/>
    <n v="1.7219699602474099"/>
    <n v="6014"/>
    <s v="Unnamed ProjectPartVA TimeEntity"/>
    <n v="5"/>
    <n v="1.0525621799284077"/>
    <n v="3.067158552326994E-3"/>
    <n v="0.95"/>
    <n v="3.8083803512072032E-3"/>
    <n v="1.04817101181257"/>
    <n v="1.05658522318634"/>
    <n v="0.22718674792668"/>
    <n v="1.8077917986534"/>
    <n v="5994.2"/>
    <n v="3.8083803512072032E-3"/>
    <n v="5"/>
    <n v="1"/>
  </r>
  <r>
    <x v="0"/>
    <s v="2025-04-26 15:48:51"/>
    <n v="3"/>
    <x v="0"/>
    <x v="5"/>
    <x v="0"/>
    <n v="0"/>
    <n v="0"/>
    <n v="0"/>
    <n v="0"/>
    <n v="6014"/>
    <s v="Unnamed ProjectPartWait TimeEntity"/>
    <n v="5"/>
    <n v="0"/>
    <n v="0"/>
    <n v="0.95"/>
    <n v="0"/>
    <n v="0"/>
    <n v="0"/>
    <n v="0"/>
    <n v="0"/>
    <n v="5994.2"/>
    <n v="0"/>
    <n v="5"/>
    <n v="1"/>
  </r>
  <r>
    <x v="0"/>
    <s v="2025-04-26 15:48:51"/>
    <n v="4"/>
    <x v="0"/>
    <x v="0"/>
    <x v="0"/>
    <n v="0"/>
    <n v="0"/>
    <n v="0"/>
    <n v="0"/>
    <n v="5985"/>
    <s v="Unnamed ProjectPartNVA TimeEntity"/>
    <n v="5"/>
    <n v="0"/>
    <n v="0"/>
    <n v="0.95"/>
    <n v="0"/>
    <n v="0"/>
    <n v="0"/>
    <n v="0"/>
    <n v="0"/>
    <n v="5994.2"/>
    <n v="0"/>
    <n v="5"/>
    <n v="1"/>
  </r>
  <r>
    <x v="0"/>
    <s v="2025-04-26 15:48:51"/>
    <n v="4"/>
    <x v="0"/>
    <x v="1"/>
    <x v="0"/>
    <n v="0"/>
    <n v="0"/>
    <n v="0"/>
    <n v="0"/>
    <n v="5985"/>
    <s v="Unnamed ProjectPartOther TimeEntity"/>
    <n v="5"/>
    <n v="0"/>
    <n v="0"/>
    <n v="0.95"/>
    <n v="0"/>
    <n v="0"/>
    <n v="0"/>
    <n v="0"/>
    <n v="0"/>
    <n v="5994.2"/>
    <n v="0"/>
    <n v="5"/>
    <n v="1"/>
  </r>
  <r>
    <x v="0"/>
    <s v="2025-04-26 15:48:51"/>
    <n v="4"/>
    <x v="0"/>
    <x v="2"/>
    <x v="0"/>
    <n v="1.05658522318634"/>
    <n v="4.8841269105434201E-3"/>
    <n v="0.22718674792668"/>
    <n v="1.7992691797362601"/>
    <n v="5985"/>
    <s v="Unnamed ProjectPartTotal TimeEntity"/>
    <n v="5"/>
    <n v="1.0525621799284077"/>
    <n v="3.067158552326994E-3"/>
    <n v="0.95"/>
    <n v="3.8083803512072032E-3"/>
    <n v="1.04817101181257"/>
    <n v="1.05658522318634"/>
    <n v="0.22718674792668"/>
    <n v="1.8077917986534"/>
    <n v="5994.2"/>
    <n v="3.8083803512072032E-3"/>
    <n v="5"/>
    <n v="1"/>
  </r>
  <r>
    <x v="0"/>
    <s v="2025-04-26 15:48:51"/>
    <n v="4"/>
    <x v="0"/>
    <x v="3"/>
    <x v="0"/>
    <n v="0"/>
    <n v="0"/>
    <n v="0"/>
    <n v="0"/>
    <n v="5985"/>
    <s v="Unnamed ProjectPartTransfer TimeEntity"/>
    <n v="5"/>
    <n v="0"/>
    <n v="0"/>
    <n v="0.95"/>
    <n v="0"/>
    <n v="0"/>
    <n v="0"/>
    <n v="0"/>
    <n v="0"/>
    <n v="5994.2"/>
    <n v="0"/>
    <n v="5"/>
    <n v="1"/>
  </r>
  <r>
    <x v="0"/>
    <s v="2025-04-26 15:48:51"/>
    <n v="4"/>
    <x v="0"/>
    <x v="4"/>
    <x v="0"/>
    <n v="1.05658522318634"/>
    <n v="4.8841269105434201E-3"/>
    <n v="0.22718674792668"/>
    <n v="1.7992691797362601"/>
    <n v="5985"/>
    <s v="Unnamed ProjectPartVA TimeEntity"/>
    <n v="5"/>
    <n v="1.0525621799284077"/>
    <n v="3.067158552326994E-3"/>
    <n v="0.95"/>
    <n v="3.8083803512072032E-3"/>
    <n v="1.04817101181257"/>
    <n v="1.05658522318634"/>
    <n v="0.22718674792668"/>
    <n v="1.8077917986534"/>
    <n v="5994.2"/>
    <n v="3.8083803512072032E-3"/>
    <n v="5"/>
    <n v="1"/>
  </r>
  <r>
    <x v="0"/>
    <s v="2025-04-26 15:48:51"/>
    <n v="4"/>
    <x v="0"/>
    <x v="5"/>
    <x v="0"/>
    <n v="0"/>
    <n v="0"/>
    <n v="0"/>
    <n v="0"/>
    <n v="5985"/>
    <s v="Unnamed ProjectPartWait TimeEntity"/>
    <n v="5"/>
    <n v="0"/>
    <n v="0"/>
    <n v="0.95"/>
    <n v="0"/>
    <n v="0"/>
    <n v="0"/>
    <n v="0"/>
    <n v="0"/>
    <n v="5994.2"/>
    <n v="0"/>
    <n v="5"/>
    <n v="1"/>
  </r>
  <r>
    <x v="0"/>
    <s v="2025-04-26 15:48:51"/>
    <n v="5"/>
    <x v="0"/>
    <x v="0"/>
    <x v="0"/>
    <n v="0"/>
    <n v="0"/>
    <n v="0"/>
    <n v="0"/>
    <n v="5991"/>
    <s v="Unnamed ProjectPartNVA TimeEntity"/>
    <n v="5"/>
    <n v="0"/>
    <n v="0"/>
    <n v="0.95"/>
    <n v="0"/>
    <n v="0"/>
    <n v="0"/>
    <n v="0"/>
    <n v="0"/>
    <n v="5994.2"/>
    <n v="0"/>
    <n v="5"/>
    <n v="1"/>
  </r>
  <r>
    <x v="0"/>
    <s v="2025-04-26 15:48:51"/>
    <n v="5"/>
    <x v="0"/>
    <x v="1"/>
    <x v="0"/>
    <n v="0"/>
    <n v="0"/>
    <n v="0"/>
    <n v="0"/>
    <n v="5991"/>
    <s v="Unnamed ProjectPartOther TimeEntity"/>
    <n v="5"/>
    <n v="0"/>
    <n v="0"/>
    <n v="0.95"/>
    <n v="0"/>
    <n v="0"/>
    <n v="0"/>
    <n v="0"/>
    <n v="0"/>
    <n v="5994.2"/>
    <n v="0"/>
    <n v="5"/>
    <n v="1"/>
  </r>
  <r>
    <x v="0"/>
    <s v="2025-04-26 15:48:51"/>
    <n v="5"/>
    <x v="0"/>
    <x v="2"/>
    <x v="0"/>
    <n v="1.04817101181257"/>
    <n v="5.2658166824937104E-3"/>
    <n v="0.31080361367366999"/>
    <n v="1.79320743615926"/>
    <n v="5991"/>
    <s v="Unnamed ProjectPartTotal TimeEntity"/>
    <n v="5"/>
    <n v="1.0525621799284077"/>
    <n v="3.067158552326994E-3"/>
    <n v="0.95"/>
    <n v="3.8083803512072032E-3"/>
    <n v="1.04817101181257"/>
    <n v="1.05658522318634"/>
    <n v="0.22718674792668"/>
    <n v="1.8077917986534"/>
    <n v="5994.2"/>
    <n v="3.8083803512072032E-3"/>
    <n v="5"/>
    <n v="1"/>
  </r>
  <r>
    <x v="0"/>
    <s v="2025-04-26 15:48:51"/>
    <n v="5"/>
    <x v="0"/>
    <x v="3"/>
    <x v="0"/>
    <n v="0"/>
    <n v="0"/>
    <n v="0"/>
    <n v="0"/>
    <n v="5991"/>
    <s v="Unnamed ProjectPartTransfer TimeEntity"/>
    <n v="5"/>
    <n v="0"/>
    <n v="0"/>
    <n v="0.95"/>
    <n v="0"/>
    <n v="0"/>
    <n v="0"/>
    <n v="0"/>
    <n v="0"/>
    <n v="5994.2"/>
    <n v="0"/>
    <n v="5"/>
    <n v="1"/>
  </r>
  <r>
    <x v="0"/>
    <s v="2025-04-26 15:48:51"/>
    <n v="5"/>
    <x v="0"/>
    <x v="4"/>
    <x v="0"/>
    <n v="1.04817101181257"/>
    <n v="5.2658166824937104E-3"/>
    <n v="0.31080361367366999"/>
    <n v="1.79320743615926"/>
    <n v="5991"/>
    <s v="Unnamed ProjectPartVA TimeEntity"/>
    <n v="5"/>
    <n v="1.0525621799284077"/>
    <n v="3.067158552326994E-3"/>
    <n v="0.95"/>
    <n v="3.8083803512072032E-3"/>
    <n v="1.04817101181257"/>
    <n v="1.05658522318634"/>
    <n v="0.22718674792668"/>
    <n v="1.8077917986534"/>
    <n v="5994.2"/>
    <n v="3.8083803512072032E-3"/>
    <n v="5"/>
    <n v="1"/>
  </r>
  <r>
    <x v="0"/>
    <s v="2025-04-26 15:48:51"/>
    <n v="5"/>
    <x v="0"/>
    <x v="5"/>
    <x v="0"/>
    <n v="0"/>
    <n v="0"/>
    <n v="0"/>
    <n v="0"/>
    <n v="5991"/>
    <s v="Unnamed ProjectPartWait TimeEntity"/>
    <n v="5"/>
    <n v="0"/>
    <n v="0"/>
    <n v="0.95"/>
    <n v="0"/>
    <n v="0"/>
    <n v="0"/>
    <n v="0"/>
    <n v="0"/>
    <n v="5994.2"/>
    <n v="0"/>
    <n v="5"/>
    <n v="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">
  <r>
    <x v="0"/>
    <s v="2025-04-26 15:48:51"/>
    <n v="1"/>
    <x v="0"/>
    <x v="0"/>
    <x v="0"/>
    <n v="5993"/>
    <n v="0"/>
    <s v="Unnamed ProjectPart.NumberInNumber InEntity"/>
    <n v="5"/>
    <n v="5994.4"/>
    <n v="11.349008767288886"/>
    <n v="0.95"/>
    <n v="14.091655601641488"/>
    <n v="5985"/>
    <n v="6014"/>
  </r>
  <r>
    <x v="0"/>
    <s v="2025-04-26 15:48:51"/>
    <n v="1"/>
    <x v="1"/>
    <x v="1"/>
    <x v="0"/>
    <n v="5992"/>
    <n v="0"/>
    <s v="Unnamed ProjectPart.NumberOutNumber OutEntity"/>
    <n v="5"/>
    <n v="5994.2"/>
    <n v="11.388590782006348"/>
    <n v="0.95"/>
    <n v="14.140803164292532"/>
    <n v="5985"/>
    <n v="6014"/>
  </r>
  <r>
    <x v="0"/>
    <s v="2025-04-26 15:48:51"/>
    <n v="1"/>
    <x v="2"/>
    <x v="1"/>
    <x v="1"/>
    <n v="5992"/>
    <n v="0"/>
    <s v="Unnamed ProjectSystem.NumberOutNumber OutSystem"/>
    <n v="5"/>
    <n v="5994.2"/>
    <n v="11.388590782006348"/>
    <n v="0.95"/>
    <n v="14.140803164292532"/>
    <n v="5985"/>
    <n v="6014"/>
  </r>
  <r>
    <x v="0"/>
    <s v="2025-04-26 15:48:51"/>
    <n v="2"/>
    <x v="0"/>
    <x v="0"/>
    <x v="0"/>
    <n v="5989"/>
    <n v="0"/>
    <s v="Unnamed ProjectPart.NumberInNumber InEntity"/>
    <n v="5"/>
    <n v="5994.4"/>
    <n v="11.349008767288886"/>
    <n v="0.95"/>
    <n v="14.091655601641488"/>
    <n v="5985"/>
    <n v="6014"/>
  </r>
  <r>
    <x v="0"/>
    <s v="2025-04-26 15:48:51"/>
    <n v="2"/>
    <x v="1"/>
    <x v="1"/>
    <x v="0"/>
    <n v="5989"/>
    <n v="0"/>
    <s v="Unnamed ProjectPart.NumberOutNumber OutEntity"/>
    <n v="5"/>
    <n v="5994.2"/>
    <n v="11.388590782006348"/>
    <n v="0.95"/>
    <n v="14.140803164292532"/>
    <n v="5985"/>
    <n v="6014"/>
  </r>
  <r>
    <x v="0"/>
    <s v="2025-04-26 15:48:51"/>
    <n v="2"/>
    <x v="2"/>
    <x v="1"/>
    <x v="1"/>
    <n v="5989"/>
    <n v="0"/>
    <s v="Unnamed ProjectSystem.NumberOutNumber OutSystem"/>
    <n v="5"/>
    <n v="5994.2"/>
    <n v="11.388590782006348"/>
    <n v="0.95"/>
    <n v="14.140803164292532"/>
    <n v="5985"/>
    <n v="6014"/>
  </r>
  <r>
    <x v="0"/>
    <s v="2025-04-26 15:48:51"/>
    <n v="3"/>
    <x v="0"/>
    <x v="0"/>
    <x v="0"/>
    <n v="6014"/>
    <n v="0"/>
    <s v="Unnamed ProjectPart.NumberInNumber InEntity"/>
    <n v="5"/>
    <n v="5994.4"/>
    <n v="11.349008767288886"/>
    <n v="0.95"/>
    <n v="14.091655601641488"/>
    <n v="5985"/>
    <n v="6014"/>
  </r>
  <r>
    <x v="0"/>
    <s v="2025-04-26 15:48:51"/>
    <n v="3"/>
    <x v="1"/>
    <x v="1"/>
    <x v="0"/>
    <n v="6014"/>
    <n v="0"/>
    <s v="Unnamed ProjectPart.NumberOutNumber OutEntity"/>
    <n v="5"/>
    <n v="5994.2"/>
    <n v="11.388590782006348"/>
    <n v="0.95"/>
    <n v="14.140803164292532"/>
    <n v="5985"/>
    <n v="6014"/>
  </r>
  <r>
    <x v="0"/>
    <s v="2025-04-26 15:48:51"/>
    <n v="3"/>
    <x v="2"/>
    <x v="1"/>
    <x v="1"/>
    <n v="6014"/>
    <n v="0"/>
    <s v="Unnamed ProjectSystem.NumberOutNumber OutSystem"/>
    <n v="5"/>
    <n v="5994.2"/>
    <n v="11.388590782006348"/>
    <n v="0.95"/>
    <n v="14.140803164292532"/>
    <n v="5985"/>
    <n v="6014"/>
  </r>
  <r>
    <x v="0"/>
    <s v="2025-04-26 15:48:51"/>
    <n v="4"/>
    <x v="0"/>
    <x v="0"/>
    <x v="0"/>
    <n v="5985"/>
    <n v="0"/>
    <s v="Unnamed ProjectPart.NumberInNumber InEntity"/>
    <n v="5"/>
    <n v="5994.4"/>
    <n v="11.349008767288886"/>
    <n v="0.95"/>
    <n v="14.091655601641488"/>
    <n v="5985"/>
    <n v="6014"/>
  </r>
  <r>
    <x v="0"/>
    <s v="2025-04-26 15:48:51"/>
    <n v="4"/>
    <x v="1"/>
    <x v="1"/>
    <x v="0"/>
    <n v="5985"/>
    <n v="0"/>
    <s v="Unnamed ProjectPart.NumberOutNumber OutEntity"/>
    <n v="5"/>
    <n v="5994.2"/>
    <n v="11.388590782006348"/>
    <n v="0.95"/>
    <n v="14.140803164292532"/>
    <n v="5985"/>
    <n v="6014"/>
  </r>
  <r>
    <x v="0"/>
    <s v="2025-04-26 15:48:51"/>
    <n v="4"/>
    <x v="2"/>
    <x v="1"/>
    <x v="1"/>
    <n v="5985"/>
    <n v="0"/>
    <s v="Unnamed ProjectSystem.NumberOutNumber OutSystem"/>
    <n v="5"/>
    <n v="5994.2"/>
    <n v="11.388590782006348"/>
    <n v="0.95"/>
    <n v="14.140803164292532"/>
    <n v="5985"/>
    <n v="6014"/>
  </r>
  <r>
    <x v="0"/>
    <s v="2025-04-26 15:48:51"/>
    <n v="5"/>
    <x v="0"/>
    <x v="0"/>
    <x v="0"/>
    <n v="5991"/>
    <n v="0"/>
    <s v="Unnamed ProjectPart.NumberInNumber InEntity"/>
    <n v="5"/>
    <n v="5994.4"/>
    <n v="11.349008767288886"/>
    <n v="0.95"/>
    <n v="14.091655601641488"/>
    <n v="5985"/>
    <n v="6014"/>
  </r>
  <r>
    <x v="0"/>
    <s v="2025-04-26 15:48:51"/>
    <n v="5"/>
    <x v="1"/>
    <x v="1"/>
    <x v="0"/>
    <n v="5991"/>
    <n v="0"/>
    <s v="Unnamed ProjectPart.NumberOutNumber OutEntity"/>
    <n v="5"/>
    <n v="5994.2"/>
    <n v="11.388590782006348"/>
    <n v="0.95"/>
    <n v="14.140803164292532"/>
    <n v="5985"/>
    <n v="6014"/>
  </r>
  <r>
    <x v="0"/>
    <s v="2025-04-26 15:48:51"/>
    <n v="5"/>
    <x v="2"/>
    <x v="1"/>
    <x v="1"/>
    <n v="5991"/>
    <n v="0"/>
    <s v="Unnamed ProjectSystem.NumberOutNumber OutSystem"/>
    <n v="5"/>
    <n v="5994.2"/>
    <n v="11.388590782006348"/>
    <n v="0.95"/>
    <n v="14.140803164292532"/>
    <n v="5985"/>
    <n v="6014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">
  <r>
    <x v="0"/>
    <s v="2025-04-26 15:48:51"/>
    <n v="1"/>
    <x v="0"/>
    <x v="0"/>
    <x v="0"/>
    <n v="0.70104016228653798"/>
    <n v="4.2651414462296601E-3"/>
    <n v="0"/>
    <n v="2"/>
    <n v="1"/>
    <n v="0"/>
    <s v="Unnamed ProjectPartWIPEntity"/>
    <n v="5"/>
    <n v="0.70107130518471239"/>
    <n v="1.9965792445353014E-3"/>
    <n v="0.95"/>
    <n v="2.4790805675003525E-3"/>
    <n v="0.69779527147015896"/>
    <n v="0.70268495822544996"/>
    <n v="2.4790805675003525E-3"/>
  </r>
  <r>
    <x v="0"/>
    <s v="2025-04-26 15:48:51"/>
    <n v="2"/>
    <x v="0"/>
    <x v="0"/>
    <x v="0"/>
    <n v="0.70115188789258198"/>
    <n v="4.6594538723041604E-3"/>
    <n v="0"/>
    <n v="2"/>
    <n v="1"/>
    <n v="0"/>
    <s v="Unnamed ProjectPartWIPEntity"/>
    <n v="5"/>
    <n v="0.70107130518471239"/>
    <n v="1.9965792445353014E-3"/>
    <n v="0.95"/>
    <n v="2.4790805675003525E-3"/>
    <n v="0.69779527147015896"/>
    <n v="0.70268495822544996"/>
    <n v="2.4790805675003525E-3"/>
  </r>
  <r>
    <x v="0"/>
    <s v="2025-04-26 15:48:51"/>
    <n v="3"/>
    <x v="0"/>
    <x v="0"/>
    <x v="0"/>
    <n v="0.70268424604883295"/>
    <n v="4.7761142140364497E-3"/>
    <n v="0"/>
    <n v="2"/>
    <n v="1"/>
    <n v="0"/>
    <s v="Unnamed ProjectPartWIPEntity"/>
    <n v="5"/>
    <n v="0.70107130518471239"/>
    <n v="1.9965792445353014E-3"/>
    <n v="0.95"/>
    <n v="2.4790805675003525E-3"/>
    <n v="0.69779527147015896"/>
    <n v="0.70268495822544996"/>
    <n v="2.4790805675003525E-3"/>
  </r>
  <r>
    <x v="0"/>
    <s v="2025-04-26 15:48:51"/>
    <n v="4"/>
    <x v="0"/>
    <x v="0"/>
    <x v="0"/>
    <n v="0.70268495822544996"/>
    <n v="5.2007279982819298E-3"/>
    <n v="0"/>
    <n v="2"/>
    <n v="1"/>
    <n v="0"/>
    <s v="Unnamed ProjectPartWIPEntity"/>
    <n v="5"/>
    <n v="0.70107130518471239"/>
    <n v="1.9965792445353014E-3"/>
    <n v="0.95"/>
    <n v="2.4790805675003525E-3"/>
    <n v="0.69779527147015896"/>
    <n v="0.70268495822544996"/>
    <n v="2.4790805675003525E-3"/>
  </r>
  <r>
    <x v="0"/>
    <s v="2025-04-26 15:48:51"/>
    <n v="5"/>
    <x v="0"/>
    <x v="0"/>
    <x v="0"/>
    <n v="0.69779527147015896"/>
    <n v="5.3494909267181798E-3"/>
    <n v="0"/>
    <n v="2"/>
    <n v="1"/>
    <n v="0"/>
    <s v="Unnamed ProjectPartWIPEntity"/>
    <n v="5"/>
    <n v="0.70107130518471239"/>
    <n v="1.9965792445353014E-3"/>
    <n v="0.95"/>
    <n v="2.4790805675003525E-3"/>
    <n v="0.69779527147015896"/>
    <n v="0.70268495822544996"/>
    <n v="2.4790805675003525E-3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FB2E74-B880-4045-8431-70DC4B03E50B}" name="DiscreteTimePivot" cacheId="46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2:M8" firstHeaderRow="0" firstDataRow="1" firstDataCol="4"/>
  <pivotFields count="25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00">
        <item m="1" x="11"/>
        <item m="1" x="34"/>
        <item m="1" x="6"/>
        <item m="1" x="86"/>
        <item m="1" x="69"/>
        <item m="1" x="39"/>
        <item m="1" x="95"/>
        <item m="1" x="27"/>
        <item m="1" x="31"/>
        <item m="1" x="98"/>
        <item m="1" x="64"/>
        <item m="1" x="76"/>
        <item m="1" x="81"/>
        <item m="1" x="5"/>
        <item m="1" x="33"/>
        <item m="1" x="23"/>
        <item m="1" x="99"/>
        <item m="1" x="93"/>
        <item m="1" x="21"/>
        <item m="1" x="15"/>
        <item m="1" x="87"/>
        <item m="1" x="7"/>
        <item m="1" x="40"/>
        <item m="1" x="26"/>
        <item m="1" x="51"/>
        <item m="1" x="78"/>
        <item m="1" x="42"/>
        <item m="1" x="12"/>
        <item m="1" x="36"/>
        <item m="1" x="65"/>
        <item m="1" x="55"/>
        <item m="1" x="13"/>
        <item m="1" x="72"/>
        <item m="1" x="4"/>
        <item m="1" x="92"/>
        <item m="1" x="60"/>
        <item m="1" x="80"/>
        <item m="1" x="35"/>
        <item m="1" x="94"/>
        <item m="1" x="63"/>
        <item m="1" x="17"/>
        <item m="1" x="54"/>
        <item m="1" x="68"/>
        <item m="1" x="79"/>
        <item m="1" x="85"/>
        <item m="1" x="3"/>
        <item m="1" x="16"/>
        <item m="1" x="25"/>
        <item m="1" x="18"/>
        <item m="1" x="2"/>
        <item m="1" x="77"/>
        <item m="1" x="89"/>
        <item m="1" x="29"/>
        <item m="1" x="59"/>
        <item m="1" x="20"/>
        <item m="1" x="37"/>
        <item m="1" x="24"/>
        <item m="1" x="45"/>
        <item m="1" x="32"/>
        <item m="1" x="52"/>
        <item m="1" x="38"/>
        <item m="1" x="61"/>
        <item m="1" x="46"/>
        <item m="1" x="66"/>
        <item m="1" x="53"/>
        <item m="1" x="74"/>
        <item m="1" x="67"/>
        <item m="1" x="82"/>
        <item m="1" x="90"/>
        <item m="1" x="70"/>
        <item m="1" x="49"/>
        <item m="1" x="30"/>
        <item m="1" x="43"/>
        <item m="1" x="14"/>
        <item m="1" x="19"/>
        <item m="1" x="28"/>
        <item m="1" x="56"/>
        <item m="1" x="91"/>
        <item m="1" x="84"/>
        <item m="1" x="71"/>
        <item m="1" x="44"/>
        <item m="1" x="57"/>
        <item m="1" x="48"/>
        <item m="1" x="73"/>
        <item m="1" x="58"/>
        <item m="1" x="41"/>
        <item m="1" x="47"/>
        <item m="1" x="10"/>
        <item m="1" x="50"/>
        <item m="1" x="62"/>
        <item m="1" x="75"/>
        <item m="1" x="83"/>
        <item m="1" x="88"/>
        <item m="1" x="97"/>
        <item m="1" x="8"/>
        <item m="1" x="22"/>
        <item m="1" x="96"/>
        <item m="1" x="9"/>
        <item m="1" x="1"/>
        <item x="0"/>
      </items>
    </pivotField>
    <pivotField axis="axisRow" compact="0" outline="0" showAll="0" defaultSubtotal="0">
      <items count="12">
        <item m="1" x="10"/>
        <item x="0"/>
        <item x="1"/>
        <item x="2"/>
        <item x="3"/>
        <item x="4"/>
        <item x="5"/>
        <item m="1" x="11"/>
        <item m="1" x="7"/>
        <item m="1" x="8"/>
        <item m="1" x="9"/>
        <item m="1" x="6"/>
      </items>
    </pivotField>
    <pivotField axis="axisRow" compact="0" outline="0" showAll="0" defaultSubtotal="0">
      <items count="5">
        <item x="0"/>
        <item m="1" x="2"/>
        <item m="1" x="4"/>
        <item m="1" x="3"/>
        <item m="1" x="1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ubtotalTop="0" showAll="0" defaultSubtotal="0"/>
    <pivotField dataField="1" compact="0" outline="0" subtotalTop="0" showAll="0" defaultSubtotal="0"/>
  </pivotFields>
  <rowFields count="4">
    <field x="0"/>
    <field x="3"/>
    <field x="4"/>
    <field x="5"/>
  </rowFields>
  <rowItems count="6">
    <i>
      <x v="3"/>
      <x v="99"/>
      <x v="1"/>
      <x/>
    </i>
    <i r="2">
      <x v="2"/>
      <x/>
    </i>
    <i r="2">
      <x v="3"/>
      <x/>
    </i>
    <i r="2">
      <x v="4"/>
      <x/>
    </i>
    <i r="2">
      <x v="5"/>
      <x/>
    </i>
    <i r="2">
      <x v="6"/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Average Of Replication Averages" fld="13" subtotal="max" baseField="5" baseItem="0"/>
    <dataField name="Observed=Requested " fld="24" subtotal="max" baseField="5" baseItem="0"/>
    <dataField name="Half-Width" fld="22" subtotal="max" baseField="0" baseItem="0"/>
    <dataField name="StDev Of Replication Averages" fld="14" subtotal="max" baseField="0" baseItem="0"/>
    <dataField name="Minimum Replication Average" fld="17" subtotal="min" baseField="0" baseItem="0"/>
    <dataField name="Maximum Replication Average" fld="18" subtotal="max" baseField="5" baseItem="1"/>
    <dataField name="Overall Min Value" fld="8" subtotal="min" baseField="0" baseItem="0"/>
    <dataField name="Overall Max Value" fld="9" subtotal="max" baseField="0" baseItem="0"/>
    <dataField name="Avg Observations Per Replication" fld="21" subtotal="max" baseField="0" baseItem="0"/>
  </dataFields>
  <conditionalFormats count="5">
    <conditionalFormat scope="data" priority="5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9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0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1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14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9BBC90-5E6A-4E6A-AD80-4C327DF960BE}" name="OutputPivot" cacheId="53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K2:AS5" firstHeaderRow="0" firstDataRow="1" firstDataCol="4"/>
  <pivotFields count="16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81">
        <item m="1" x="28"/>
        <item m="1" x="4"/>
        <item m="1" x="29"/>
        <item m="1" x="5"/>
        <item m="1" x="30"/>
        <item m="1" x="6"/>
        <item m="1" x="31"/>
        <item m="1" x="7"/>
        <item m="1" x="63"/>
        <item m="1" x="18"/>
        <item x="2"/>
        <item m="1" x="62"/>
        <item m="1" x="49"/>
        <item m="1" x="66"/>
        <item m="1" x="51"/>
        <item m="1" x="67"/>
        <item m="1" x="74"/>
        <item m="1" x="43"/>
        <item m="1" x="11"/>
        <item m="1" x="60"/>
        <item m="1" x="50"/>
        <item m="1" x="48"/>
        <item m="1" x="14"/>
        <item m="1" x="58"/>
        <item m="1" x="23"/>
        <item m="1" x="59"/>
        <item m="1" x="24"/>
        <item m="1" x="57"/>
        <item m="1" x="77"/>
        <item m="1" x="17"/>
        <item m="1" x="80"/>
        <item m="1" x="45"/>
        <item m="1" x="12"/>
        <item m="1" x="75"/>
        <item m="1" x="70"/>
        <item m="1" x="46"/>
        <item m="1" x="13"/>
        <item m="1" x="76"/>
        <item m="1" x="71"/>
        <item m="1" x="8"/>
        <item m="1" x="42"/>
        <item m="1" x="26"/>
        <item m="1" x="16"/>
        <item m="1" x="68"/>
        <item m="1" x="38"/>
        <item m="1" x="69"/>
        <item m="1" x="39"/>
        <item m="1" x="25"/>
        <item m="1" x="20"/>
        <item m="1" x="47"/>
        <item m="1" x="22"/>
        <item m="1" x="79"/>
        <item m="1" x="72"/>
        <item m="1" x="21"/>
        <item m="1" x="19"/>
        <item m="1" x="64"/>
        <item m="1" x="73"/>
        <item m="1" x="9"/>
        <item m="1" x="27"/>
        <item m="1" x="40"/>
        <item m="1" x="61"/>
        <item m="1" x="78"/>
        <item m="1" x="10"/>
        <item m="1" x="37"/>
        <item m="1" x="41"/>
        <item m="1" x="65"/>
        <item m="1" x="44"/>
        <item m="1" x="15"/>
        <item m="1" x="32"/>
        <item m="1" x="52"/>
        <item m="1" x="33"/>
        <item m="1" x="53"/>
        <item m="1" x="34"/>
        <item m="1" x="54"/>
        <item m="1" x="35"/>
        <item m="1" x="55"/>
        <item m="1" x="36"/>
        <item m="1" x="56"/>
        <item m="1" x="3"/>
        <item x="0"/>
        <item x="1"/>
      </items>
    </pivotField>
    <pivotField axis="axisRow" compact="0" outline="0" showAll="0" defaultSubtotal="0">
      <items count="7">
        <item x="0"/>
        <item x="1"/>
        <item m="1" x="3"/>
        <item m="1" x="4"/>
        <item m="1" x="5"/>
        <item m="1" x="6"/>
        <item m="1" x="2"/>
      </items>
    </pivotField>
    <pivotField axis="axisRow" compact="0" outline="0" showAll="0" defaultSubtotal="0">
      <items count="5">
        <item x="0"/>
        <item m="1" x="3"/>
        <item x="1"/>
        <item m="1" x="4"/>
        <item m="1" x="2"/>
      </items>
    </pivotField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3">
    <i>
      <x v="3"/>
      <x v="10"/>
      <x v="1"/>
      <x v="2"/>
    </i>
    <i r="1">
      <x v="79"/>
      <x/>
      <x/>
    </i>
    <i r="1">
      <x v="80"/>
      <x v="1"/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10" subtotal="min" baseField="0" baseItem="0"/>
    <dataField name="Half-Width" fld="13" subtotal="min" baseField="0" baseItem="0"/>
    <dataField name="Overall StDev Across Replications" fld="11" subtotal="min" baseField="0" baseItem="0"/>
    <dataField name="Min Replication Value" fld="14" subtotal="min" baseField="0" baseItem="0"/>
    <dataField name="Max Replication Value" fld="15" subtotal="max" baseField="0" baseItem="0"/>
  </dataFields>
  <conditionalFormats count="1">
    <conditionalFormat scope="data" priority="7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E56543-8FDA-4161-A502-2100C2820B38}" name="CounterPivot" cacheId="60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A2:AI3" firstHeaderRow="0" firstDataRow="1" firstDataCol="4"/>
  <pivotFields count="15">
    <pivotField name="Project Name" axis="axisRow" compact="0" outline="0" subtotalTop="0" showAll="0" defaultSubtotal="0">
      <items count="3">
        <item m="1" x="2"/>
        <item x="0"/>
        <item m="1" x="1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4">
        <item m="1" x="3"/>
        <item m="1" x="2"/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3"/>
      <x v="1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9" subtotal="min" baseField="0" baseItem="0"/>
    <dataField name="Half-Width" fld="12" subtotal="min" baseField="0" baseItem="0"/>
    <dataField name="Overall StDev Across Replications" fld="10" subtotal="min" baseField="0" baseItem="0"/>
    <dataField name="Min Replication Value" fld="13" subtotal="min" baseField="0" baseItem="0"/>
    <dataField name="Max Replication Value" fld="14" subtotal="max" baseField="0" baseItem="0"/>
  </dataFields>
  <conditionalFormats count="1">
    <conditionalFormat scope="data" priority="6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21943B-8931-4F87-AD7E-CE85C11F1EB8}" name="ContinuousTimePivot" cacheId="67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O2:Y3" firstHeaderRow="0" firstDataRow="1" firstDataCol="4"/>
  <pivotFields count="21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25">
        <item m="1" x="16"/>
        <item m="1" x="7"/>
        <item m="1" x="23"/>
        <item m="1" x="32"/>
        <item m="1" x="45"/>
        <item m="1" x="44"/>
        <item m="1" x="8"/>
        <item m="1" x="109"/>
        <item m="1" x="87"/>
        <item m="1" x="50"/>
        <item m="1" x="37"/>
        <item m="1" x="41"/>
        <item m="1" x="123"/>
        <item m="1" x="26"/>
        <item m="1" x="108"/>
        <item m="1" x="30"/>
        <item m="1" x="81"/>
        <item m="1" x="95"/>
        <item m="1" x="5"/>
        <item m="1" x="31"/>
        <item m="1" x="118"/>
        <item m="1" x="20"/>
        <item m="1" x="110"/>
        <item m="1" x="9"/>
        <item m="1" x="36"/>
        <item m="1" x="62"/>
        <item m="1" x="6"/>
        <item m="1" x="12"/>
        <item m="1" x="82"/>
        <item m="1" x="63"/>
        <item m="1" x="97"/>
        <item m="1" x="53"/>
        <item m="1" x="17"/>
        <item m="1" x="47"/>
        <item m="1" x="83"/>
        <item m="1" x="68"/>
        <item m="1" x="18"/>
        <item m="1" x="28"/>
        <item m="1" x="90"/>
        <item m="1" x="4"/>
        <item m="1" x="117"/>
        <item m="1" x="75"/>
        <item m="1" x="15"/>
        <item m="1" x="100"/>
        <item m="1" x="46"/>
        <item m="1" x="119"/>
        <item m="1" x="80"/>
        <item m="1" x="22"/>
        <item m="1" x="67"/>
        <item m="1" x="86"/>
        <item m="1" x="99"/>
        <item m="1" x="107"/>
        <item m="1" x="116"/>
        <item m="1" x="3"/>
        <item m="1" x="21"/>
        <item m="1" x="35"/>
        <item m="1" x="24"/>
        <item m="1" x="2"/>
        <item m="1" x="96"/>
        <item m="1" x="113"/>
        <item m="1" x="39"/>
        <item m="1" x="74"/>
        <item m="1" x="27"/>
        <item m="1" x="48"/>
        <item m="1" x="33"/>
        <item m="1" x="57"/>
        <item m="1" x="42"/>
        <item m="1" x="64"/>
        <item m="1" x="49"/>
        <item m="1" x="76"/>
        <item m="1" x="58"/>
        <item m="1" x="84"/>
        <item m="1" x="65"/>
        <item m="1" x="93"/>
        <item m="1" x="77"/>
        <item m="1" x="98"/>
        <item m="1" x="85"/>
        <item m="1" x="102"/>
        <item m="1" x="114"/>
        <item m="1" x="104"/>
        <item m="1" x="88"/>
        <item m="1" x="61"/>
        <item m="1" x="40"/>
        <item m="1" x="55"/>
        <item m="1" x="19"/>
        <item m="1" x="25"/>
        <item m="1" x="34"/>
        <item m="1" x="38"/>
        <item m="1" x="70"/>
        <item m="1" x="115"/>
        <item m="1" x="105"/>
        <item m="1" x="89"/>
        <item m="1" x="56"/>
        <item m="1" x="124"/>
        <item m="1" x="72"/>
        <item m="1" x="60"/>
        <item m="1" x="92"/>
        <item m="1" x="73"/>
        <item m="1" x="52"/>
        <item m="1" x="59"/>
        <item m="1" x="13"/>
        <item m="1" x="78"/>
        <item m="1" x="94"/>
        <item m="1" x="103"/>
        <item m="1" x="111"/>
        <item m="1" x="122"/>
        <item m="1" x="10"/>
        <item m="1" x="29"/>
        <item m="1" x="121"/>
        <item m="1" x="11"/>
        <item m="1" x="79"/>
        <item m="1" x="54"/>
        <item m="1" x="69"/>
        <item m="1" x="14"/>
        <item m="1" x="120"/>
        <item m="1" x="101"/>
        <item m="1" x="51"/>
        <item m="1" x="112"/>
        <item m="1" x="71"/>
        <item m="1" x="91"/>
        <item m="1" x="106"/>
        <item m="1" x="43"/>
        <item m="1" x="66"/>
        <item m="1" x="1"/>
        <item x="0"/>
      </items>
    </pivotField>
    <pivotField axis="axisRow" compact="0" outline="0" showAll="0" defaultSubtotal="0">
      <items count="7">
        <item m="1" x="5"/>
        <item m="1" x="3"/>
        <item m="1" x="2"/>
        <item m="1" x="6"/>
        <item x="0"/>
        <item m="1" x="4"/>
        <item m="1" x="1"/>
      </items>
    </pivotField>
    <pivotField axis="axisRow" compact="0" outline="0" showAll="0" defaultSubtotal="0">
      <items count="5">
        <item x="0"/>
        <item m="1" x="2"/>
        <item m="1" x="3"/>
        <item m="1" x="4"/>
        <item m="1" x="1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3"/>
      <x v="124"/>
      <x v="4"/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Average Of Replication Averages" fld="14" subtotal="max" baseField="9" baseItem="0"/>
    <dataField name="Half-Width" fld="20" subtotal="max" baseField="0" baseItem="0"/>
    <dataField name="StDev Of Replication Averages" fld="15" subtotal="max" baseField="0" baseItem="0"/>
    <dataField name="Min Replication Average" fld="18" subtotal="min" baseField="9" baseItem="0"/>
    <dataField name="Max Replication Average" fld="19" subtotal="max" baseField="9" baseItem="0"/>
    <dataField name="Overall Min Value" fld="8" subtotal="min" baseField="9" baseItem="0"/>
    <dataField name="Overall Max Value" fld="9" subtotal="max" baseField="9" baseItem="0"/>
  </dataFields>
  <conditionalFormats count="3"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2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13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F038CC-E4AC-48BE-9730-B0CC6039C6D1}" name="FrequencyPivot" cacheId="74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U2:AZ3" firstHeaderRow="0" firstDataRow="1" firstDataCol="4"/>
  <pivotFields count="17">
    <pivotField name="Project Name" axis="axisRow" compact="0" outline="0" subtotalTop="0" showAll="0" defaultSubtotal="0">
      <items count="3">
        <item m="1" x="1"/>
        <item x="0"/>
        <item m="1" x="2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7">
        <item m="1" x="5"/>
        <item m="1" x="6"/>
        <item m="1" x="1"/>
        <item m="1" x="3"/>
        <item m="1" x="4"/>
        <item x="0"/>
        <item m="1" x="2"/>
      </items>
    </pivotField>
    <pivotField axis="axisRow" compact="0" outline="0" showAll="0" defaultSubtotal="0">
      <items count="9">
        <item m="1" x="6"/>
        <item m="1" x="4"/>
        <item m="1" x="1"/>
        <item x="0"/>
        <item m="1" x="2"/>
        <item m="1" x="3"/>
        <item m="1" x="5"/>
        <item m="1" x="7"/>
        <item m="1" x="8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5"/>
      <x v="3"/>
      <x v="1"/>
    </i>
  </rowItems>
  <colFields count="1">
    <field x="-2"/>
  </colFields>
  <colItems count="2">
    <i>
      <x/>
    </i>
    <i i="1">
      <x v="1"/>
    </i>
  </colItems>
  <dataFields count="2">
    <dataField name="Average Standard Percentage" fld="15" subtotal="max" baseField="0" baseItem="0" numFmtId="10"/>
    <dataField name="Average Restricted Percentage" fld="16" subtotal="max" baseField="0" baseItem="0" numFmtId="10"/>
  </dataFields>
  <formats count="1">
    <format dxfId="70">
      <pivotArea outline="0" fieldPosition="0">
        <references count="1">
          <reference field="4294967294" count="1" selected="0">
            <x v="1"/>
          </reference>
        </references>
      </pivotArea>
    </format>
  </formats>
  <conditionalFormats count="1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D1994317-E521-42D8-8935-71478B094474}" autoFormatId="0" applyNumberFormats="0" applyBorderFormats="0" applyFontFormats="1" applyPatternFormats="1" applyAlignmentFormats="0" applyWidthHeightFormats="0">
  <queryTableRefresh nextId="13" unboundColumnsRight="1">
    <queryTableFields count="7">
      <queryTableField id="1" name="ProjectName" tableColumnId="7"/>
      <queryTableField id="2" name="ModelFile" tableColumnId="8"/>
      <queryTableField id="3" name="ModelRunDate" tableColumnId="9"/>
      <queryTableField id="4" name="TimeUnits" tableColumnId="10"/>
      <queryTableField id="5" name="NumberOfReplications" tableColumnId="11"/>
      <queryTableField id="12" name="AvgStatCollectionLength" tableColumnId="1"/>
      <queryTableField id="8" dataBound="0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539ABA63-AA8A-42D3-9EDE-86D1518B7AF5}" autoFormatId="0" applyNumberFormats="0" applyBorderFormats="0" applyFontFormats="1" applyPatternFormats="1" applyAlignmentFormats="0" applyWidthHeightFormats="0">
  <queryTableRefresh nextId="26" unboundColumnsRight="14">
    <queryTableFields count="25">
      <queryTableField id="1" name="ProjectName" tableColumnId="12"/>
      <queryTableField id="2" name="Project RunDateTime" tableColumnId="13"/>
      <queryTableField id="3" name="Replication" tableColumnId="14"/>
      <queryTableField id="4" name="Name" tableColumnId="15"/>
      <queryTableField id="5" name="Type" tableColumnId="16"/>
      <queryTableField id="6" name="Source" tableColumnId="17"/>
      <queryTableField id="7" name="Average" tableColumnId="18"/>
      <queryTableField id="8" name="BatchMeansHalfWidth" tableColumnId="19"/>
      <queryTableField id="9" name="Minimum" tableColumnId="20"/>
      <queryTableField id="10" name="Maximum" tableColumnId="21"/>
      <queryTableField id="11" name="NumberObservations" tableColumnId="22"/>
      <queryTableField id="12" dataBound="0" tableColumnId="23"/>
      <queryTableField id="13" dataBound="0" tableColumnId="24"/>
      <queryTableField id="14" dataBound="0" tableColumnId="25"/>
      <queryTableField id="15" dataBound="0" tableColumnId="26"/>
      <queryTableField id="16" dataBound="0" tableColumnId="27"/>
      <queryTableField id="17" dataBound="0" tableColumnId="28"/>
      <queryTableField id="18" dataBound="0" tableColumnId="29"/>
      <queryTableField id="19" dataBound="0" tableColumnId="30"/>
      <queryTableField id="20" dataBound="0" tableColumnId="31"/>
      <queryTableField id="21" dataBound="0" tableColumnId="32"/>
      <queryTableField id="22" dataBound="0" tableColumnId="33"/>
      <queryTableField id="23" dataBound="0" tableColumnId="1"/>
      <queryTableField id="24" dataBound="0" tableColumnId="2"/>
      <queryTableField id="25" dataBound="0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" xr16:uid="{9CB6AAA3-3C95-4DCB-9289-E04638BF75BD}" autoFormatId="0" applyNumberFormats="0" applyBorderFormats="0" applyFontFormats="1" applyPatternFormats="1" applyAlignmentFormats="0" applyWidthHeightFormats="0">
  <queryTableRefresh nextId="23" unboundColumnsRight="9">
    <queryTableFields count="21">
      <queryTableField id="1" name="ProjectName" tableColumnId="13"/>
      <queryTableField id="2" name="Project RunDateTime" tableColumnId="14"/>
      <queryTableField id="3" name="Replication" tableColumnId="15"/>
      <queryTableField id="4" name="Name" tableColumnId="16"/>
      <queryTableField id="5" name="Type" tableColumnId="17"/>
      <queryTableField id="6" name="Source" tableColumnId="18"/>
      <queryTableField id="7" name="Average" tableColumnId="19"/>
      <queryTableField id="8" name="BatchMeansHalfWidth" tableColumnId="20"/>
      <queryTableField id="9" name="Minimum" tableColumnId="21"/>
      <queryTableField id="11" name="Maximum" tableColumnId="23"/>
      <queryTableField id="12" name="LastRecordedValue" tableColumnId="24"/>
      <queryTableField id="22" name="IsPeriodic" tableColumnId="2"/>
      <queryTableField id="13" dataBound="0" tableColumnId="25"/>
      <queryTableField id="14" dataBound="0" tableColumnId="26"/>
      <queryTableField id="15" dataBound="0" tableColumnId="27"/>
      <queryTableField id="16" dataBound="0" tableColumnId="28"/>
      <queryTableField id="17" dataBound="0" tableColumnId="29"/>
      <queryTableField id="18" dataBound="0" tableColumnId="30"/>
      <queryTableField id="19" dataBound="0" tableColumnId="31"/>
      <queryTableField id="20" dataBound="0" tableColumnId="32"/>
      <queryTableField id="21" dataBound="0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BC55318B-CEA1-49EC-B287-41EC9B3C40EB}" autoFormatId="0" applyNumberFormats="0" applyBorderFormats="0" applyFontFormats="1" applyPatternFormats="1" applyAlignmentFormats="0" applyWidthHeightFormats="0">
  <queryTableRefresh nextId="16" unboundColumnsRight="8">
    <queryTableFields count="15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6" xr16:uid="{F3F95AA4-776E-4DAE-8701-CCD42E9FB9E8}" autoFormatId="0" applyNumberFormats="0" applyBorderFormats="0" applyFontFormats="1" applyPatternFormats="1" applyAlignmentFormats="0" applyWidthHeightFormats="0">
  <queryTableRefresh nextId="17" unboundColumnsRight="8">
    <queryTableFields count="16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16" name="IsPeriodic" tableColumnId="1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3AE2AE05-E52E-426A-A579-039039C96789}" autoFormatId="0" applyNumberFormats="0" applyBorderFormats="0" applyFontFormats="1" applyPatternFormats="1" applyAlignmentFormats="0" applyWidthHeightFormats="0">
  <queryTableRefresh nextId="19" unboundColumnsRight="6">
    <queryTableFields count="17">
      <queryTableField id="1" name="ProjectName" tableColumnId="11"/>
      <queryTableField id="2" name="Project RunDateTime" tableColumnId="12"/>
      <queryTableField id="3" name="Replication" tableColumnId="13"/>
      <queryTableField id="4" name="Name" tableColumnId="14"/>
      <queryTableField id="5" name="Category" tableColumnId="15"/>
      <queryTableField id="6" name="Source" tableColumnId="16"/>
      <queryTableField id="7" name="StandardPercentage" tableColumnId="17"/>
      <queryTableField id="8" name="RestrictedPercentage" tableColumnId="18"/>
      <queryTableField id="9" name="AverageTimeInCategory" tableColumnId="19"/>
      <queryTableField id="10" name="FrequencyCategoryCount" tableColumnId="20"/>
      <queryTableField id="18" name="IncludeOption" tableColumnId="1"/>
      <queryTableField id="11" dataBound="0" tableColumnId="21"/>
      <queryTableField id="13" dataBound="0" tableColumnId="23"/>
      <queryTableField id="14" dataBound="0" tableColumnId="24"/>
      <queryTableField id="15" dataBound="0" tableColumnId="25"/>
      <queryTableField id="16" dataBound="0" tableColumnId="26"/>
      <queryTableField id="17" dataBound="0" tableColumnId="2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9ACA7CA-8AEC-4799-A6DA-F91831C0B99E}" name="ProjectInfoTable" displayName="ProjectInfoTable" ref="A1:G2" tableType="queryTable" totalsRowShown="0">
  <autoFilter ref="A1:G2" xr:uid="{D9ACA7CA-8AEC-4799-A6DA-F91831C0B99E}"/>
  <tableColumns count="7">
    <tableColumn id="7" xr3:uid="{5B6B50FF-5CD8-4675-A10D-C17060AA9858}" uniqueName="7" name="ProjectName" queryTableFieldId="1"/>
    <tableColumn id="8" xr3:uid="{EAE4E786-F887-4642-B5BF-5F640F6469C2}" uniqueName="8" name="ModelFile" queryTableFieldId="2"/>
    <tableColumn id="9" xr3:uid="{D3E86395-E405-4897-BE1B-69B1D109F9F9}" uniqueName="9" name="ModelRunDate" queryTableFieldId="3"/>
    <tableColumn id="10" xr3:uid="{B4E9AA2C-7E52-4B82-AA14-CD13C4AFD8F5}" uniqueName="10" name="TimeUnits" queryTableFieldId="4"/>
    <tableColumn id="11" xr3:uid="{AF80A435-632D-4CCF-B4CB-BF929DA4BB65}" uniqueName="11" name="NumberOfReplications" queryTableFieldId="5"/>
    <tableColumn id="1" xr3:uid="{147CD63A-EFFC-4DC9-BB74-3CD93303E266}" uniqueName="1" name="AvgStatCollectionLength" queryTableFieldId="12"/>
    <tableColumn id="14" xr3:uid="{C76B7114-1FC0-4789-8A25-2100ED102E62}" uniqueName="14" name="ConfidenceInterval" queryTableFieldId="8">
      <calculatedColumnFormula>0.95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D003CA-1AFF-426C-A03D-D3AF5760DF1A}" name="DiscreteStatsTable" displayName="DiscreteStatsTable" ref="A1:Y31" tableType="queryTable" totalsRowShown="0">
  <autoFilter ref="A1:Y31" xr:uid="{C3D003CA-1AFF-426C-A03D-D3AF5760DF1A}"/>
  <sortState xmlns:xlrd2="http://schemas.microsoft.com/office/spreadsheetml/2017/richdata2" ref="A2:Y31">
    <sortCondition ref="D1:D31"/>
  </sortState>
  <tableColumns count="25">
    <tableColumn id="12" xr3:uid="{B096CD48-0B07-464E-A0A5-1B5417759979}" uniqueName="12" name="ProjectName" queryTableFieldId="1"/>
    <tableColumn id="13" xr3:uid="{39561E60-6BBC-4AF4-A5CF-34AD4DC9B380}" uniqueName="13" name="Project RunDateTime" queryTableFieldId="2"/>
    <tableColumn id="14" xr3:uid="{27C4144A-9730-4055-85A6-AC146C7F80FA}" uniqueName="14" name="Replication" queryTableFieldId="3"/>
    <tableColumn id="15" xr3:uid="{6E8A3C86-9988-4AA1-B494-E9D00D042A84}" uniqueName="15" name="Name" queryTableFieldId="4"/>
    <tableColumn id="16" xr3:uid="{6934091D-2B26-4A03-8B79-B7137FF8B712}" uniqueName="16" name="Type" queryTableFieldId="5"/>
    <tableColumn id="17" xr3:uid="{7F1A8290-D215-4790-965D-071C67F0881F}" uniqueName="17" name="Source" queryTableFieldId="6"/>
    <tableColumn id="18" xr3:uid="{4567EBBA-DD72-4D03-9CC6-039524F83867}" uniqueName="18" name="Average" queryTableFieldId="7"/>
    <tableColumn id="19" xr3:uid="{93CF59C7-D935-497F-84E7-8157D1F2DDD1}" uniqueName="19" name="BatchMeansHalfWidth" queryTableFieldId="8"/>
    <tableColumn id="20" xr3:uid="{B306B9B1-D7B3-444C-9C73-20AF427D9952}" uniqueName="20" name="Minimum" queryTableFieldId="9"/>
    <tableColumn id="21" xr3:uid="{C619EE7A-43F2-4126-8E5E-B9B9590B8283}" uniqueName="21" name="Maximum" queryTableFieldId="10"/>
    <tableColumn id="22" xr3:uid="{6ACA6B2E-0945-4AE9-B15D-E5D4C71CB0F0}" uniqueName="22" name="NumberObservations" queryTableFieldId="11"/>
    <tableColumn id="23" xr3:uid="{4846BA48-ED6B-4E06-9097-E3D86E22F127}" uniqueName="23" name="GroupByKey" queryTableFieldId="12" dataDxfId="69">
      <calculatedColumnFormula>DiscreteStatsTable[[#This Row],[ProjectName]]&amp;DiscreteStatsTable[[#This Row],[Name]]&amp;DiscreteStatsTable[[#This Row],[Type]]&amp;DiscreteStatsTable[[#This Row],[Source]]</calculatedColumnFormula>
    </tableColumn>
    <tableColumn id="24" xr3:uid="{D42AF2BB-92E9-4C3B-98EA-BE63FD42C513}" uniqueName="24" name="RepsRequested" queryTableFieldId="13" dataDxfId="68">
      <calculatedColumnFormula array="1">MAX(IF((ProjectInfoTable[ProjectName]=DiscreteStatsTable[[#This Row],[ProjectName]]),(ProjectInfoTable[ProjectName]=DiscreteStatsTable[[#This Row],[ProjectName]])*ProjectInfoTable[NumberOfReplications]))</calculatedColumnFormula>
    </tableColumn>
    <tableColumn id="25" xr3:uid="{73F16317-1122-4177-81D7-329A79E5AE0A}" uniqueName="25" name="AverageOfAverage" queryTableFieldId="14" dataDxfId="67">
      <calculatedColumnFormula array="1">IFERROR(AVERAGE(IF((DiscreteStatsTable[GroupByKey]=DiscreteStatsTable[[#This Row],[GroupByKey]]),(DiscreteStatsTable[GroupByKey]=DiscreteStatsTable[[#This Row],[GroupByKey]])*DiscreteStatsTable[Average])),0)</calculatedColumnFormula>
    </tableColumn>
    <tableColumn id="26" xr3:uid="{B09E3CC9-2824-4B82-B31A-C8B10EF46A3D}" uniqueName="26" name="StDevOfAverage" queryTableFieldId="15" dataDxfId="66">
      <calculatedColumnFormula array="1">IFERROR(_xlfn.STDEV.S(IF((DiscreteStatsTable[GroupByKey]=DiscreteStatsTable[[#This Row],[GroupByKey]]),(DiscreteStatsTable[GroupByKey]=DiscreteStatsTable[[#This Row],[GroupByKey]])*DiscreteStatsTable[Average])),0)</calculatedColumnFormula>
    </tableColumn>
    <tableColumn id="27" xr3:uid="{B4CE69F3-02D3-4BB6-A22D-0BBC0C0379AB}" uniqueName="27" name="ConfidenceInterval" queryTableFieldId="16" dataDxfId="65">
      <calculatedColumnFormula array="1">MAX(IF((ProjectInfoTable[ProjectName]=DiscreteStatsTable[[#This Row],[ProjectName]]),(ProjectInfoTable[ProjectName]=DiscreteStatsTable[[#This Row],[ProjectName]])*ProjectInfoTable[ConfidenceInterval]))</calculatedColumnFormula>
    </tableColumn>
    <tableColumn id="28" xr3:uid="{B63678E0-766B-406C-80EF-AAECCFDAF8F8}" uniqueName="28" name="HalfWidth" queryTableFieldId="17" dataDxfId="64">
      <calculatedColumnFormula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calculatedColumnFormula>
    </tableColumn>
    <tableColumn id="29" xr3:uid="{542F00DC-AC51-4911-9456-71FABB8AAB07}" uniqueName="29" name="MinimumAverage" queryTableFieldId="18" dataDxfId="63">
      <calculatedColumnFormula array="1">MIN(IF((DiscreteStatsTable[GroupByKey]=DiscreteStatsTable[[#This Row],[GroupByKey]]),(DiscreteStatsTable[GroupByKey]=DiscreteStatsTable[[#This Row],[GroupByKey]])*DiscreteStatsTable[Average]))</calculatedColumnFormula>
    </tableColumn>
    <tableColumn id="30" xr3:uid="{2A52F4F4-2F90-4AD6-B984-A56B370AF0DA}" uniqueName="30" name="MaximumAverage" queryTableFieldId="19" dataDxfId="62">
      <calculatedColumnFormula array="1">MAX(IF((DiscreteStatsTable[GroupByKey]=DiscreteStatsTable[[#This Row],[GroupByKey]]),(DiscreteStatsTable[GroupByKey]=DiscreteStatsTable[[#This Row],[GroupByKey]])*DiscreteStatsTable[Average]))</calculatedColumnFormula>
    </tableColumn>
    <tableColumn id="31" xr3:uid="{8F779A60-A5A0-46E8-A3EC-525B381B10BB}" uniqueName="31" name="OverallMinimum" queryTableFieldId="20" dataDxfId="61">
      <calculatedColumnFormula array="1">MIN(IF((DiscreteStatsTable[GroupByKey]=DiscreteStatsTable[[#This Row],[GroupByKey]]),(DiscreteStatsTable[GroupByKey]=DiscreteStatsTable[[#This Row],[GroupByKey]])*DiscreteStatsTable[Minimum]))</calculatedColumnFormula>
    </tableColumn>
    <tableColumn id="32" xr3:uid="{83AB0A70-565F-48C8-A2E8-EE0EA9F1409D}" uniqueName="32" name="OverallMaximum" queryTableFieldId="21" dataDxfId="60">
      <calculatedColumnFormula array="1">MAX(IF((DiscreteStatsTable[GroupByKey]=DiscreteStatsTable[[#This Row],[GroupByKey]]),(DiscreteStatsTable[GroupByKey]=DiscreteStatsTable[[#This Row],[GroupByKey]])*DiscreteStatsTable[Maximum]))</calculatedColumnFormula>
    </tableColumn>
    <tableColumn id="33" xr3:uid="{D80FED1A-93E2-4299-93E5-88DD6A833181}" uniqueName="33" name="AverageNumberObservations" queryTableFieldId="22" dataDxfId="59">
      <calculatedColumnFormula array="1">IFERROR(AVERAGE(IF((DiscreteStatsTable[GroupByKey]=DiscreteStatsTable[[#This Row],[GroupByKey]]),(DiscreteStatsTable[GroupByKey]=DiscreteStatsTable[[#This Row],[GroupByKey]])*DiscreteStatsTable[NumberObservations])),0)</calculatedColumnFormula>
    </tableColumn>
    <tableColumn id="1" xr3:uid="{58540987-2826-468C-8E32-1E71359DB3A8}" uniqueName="1" name="SummaryHalfWidth" queryTableFieldId="23" dataDxfId="58">
      <calculatedColumnFormula>IF((DiscreteStatsTable[[#This Row],[RepsRequested]]&gt;1),DiscreteStatsTable[[#This Row],[HalfWidth]],DiscreteStatsTable[[#This Row],[BatchMeansHalfWidth]])</calculatedColumnFormula>
    </tableColumn>
    <tableColumn id="2" xr3:uid="{E8743E28-D43F-400F-915A-38998F83310B}" uniqueName="2" name="RepsWithStatObserved" queryTableFieldId="24" dataDxfId="57">
      <calculatedColumnFormula array="1">COUNT(IF((DiscreteStatsTable[GroupByKey]=DiscreteStatsTable[[#This Row],[GroupByKey]]),(DiscreteStatsTable[GroupByKey]=DiscreteStatsTable[[#This Row],[GroupByKey]])*DiscreteStatsTable[Replication]))</calculatedColumnFormula>
    </tableColumn>
    <tableColumn id="3" xr3:uid="{529C8BD5-7271-4D48-9A0B-05492FE59015}" uniqueName="3" name="Observed=Requested" queryTableFieldId="25" dataDxfId="56">
      <calculatedColumnFormula>IF(DiscreteStatsTable[[#This Row],[RepsRequested]]=DiscreteStatsTable[[#This Row],[RepsWithStatObserved]],1,0)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15E2D25-10D1-4504-B9EB-6AFB492ED9AF}" name="ContinuousStatsTable" displayName="ContinuousStatsTable" ref="A1:U6" tableType="queryTable" totalsRowShown="0">
  <autoFilter ref="A1:U6" xr:uid="{515E2D25-10D1-4504-B9EB-6AFB492ED9AF}"/>
  <tableColumns count="21">
    <tableColumn id="13" xr3:uid="{F8CC730B-7057-43EA-ADC4-DCFE6B1974AA}" uniqueName="13" name="ProjectName" queryTableFieldId="1"/>
    <tableColumn id="14" xr3:uid="{C7F0DB8C-537A-4FAC-8EC5-C187321F4DCF}" uniqueName="14" name="Project RunDateTime" queryTableFieldId="2"/>
    <tableColumn id="15" xr3:uid="{EBDA60CA-09B2-43CB-A597-81333484EE53}" uniqueName="15" name="Replication" queryTableFieldId="3"/>
    <tableColumn id="16" xr3:uid="{DA72179F-33D1-4A08-AECA-868B85E97F4A}" uniqueName="16" name="Name" queryTableFieldId="4"/>
    <tableColumn id="17" xr3:uid="{84FF88E9-B003-4BA4-85B9-AF51D6DD3703}" uniqueName="17" name="Type" queryTableFieldId="5"/>
    <tableColumn id="18" xr3:uid="{9FC0130A-7ECE-4B9B-9A08-B57D494BE9BE}" uniqueName="18" name="Source" queryTableFieldId="6"/>
    <tableColumn id="19" xr3:uid="{BE287EAD-9E19-495A-AED2-DFB7310DC865}" uniqueName="19" name="Average" queryTableFieldId="7"/>
    <tableColumn id="20" xr3:uid="{CBA7534C-E241-4DD0-BC72-571B1AE10A3E}" uniqueName="20" name="BatchMeansHalfWidth" queryTableFieldId="8"/>
    <tableColumn id="21" xr3:uid="{6ABC4493-E87F-4C64-BFA9-DF5D218DB399}" uniqueName="21" name="Minimum" queryTableFieldId="9"/>
    <tableColumn id="23" xr3:uid="{32E7568D-CE29-48D5-A8FD-13E9260A91EA}" uniqueName="23" name="Maximum" queryTableFieldId="11"/>
    <tableColumn id="24" xr3:uid="{7378F84D-84B6-4056-B190-9C2C77564D90}" uniqueName="24" name="LastRecordedValue" queryTableFieldId="12"/>
    <tableColumn id="2" xr3:uid="{FB73785F-A6C9-4855-B9DF-6919714E4C35}" uniqueName="2" name="IsPeriodic" queryTableFieldId="22"/>
    <tableColumn id="25" xr3:uid="{3C99A543-21C7-4F35-81B3-0BBF5DE3C214}" uniqueName="25" name="GroupByKey" queryTableFieldId="13" dataDxfId="55">
      <calculatedColumnFormula>ContinuousStatsTable[[#This Row],[ProjectName]]&amp;ContinuousStatsTable[[#This Row],[Name]]&amp;ContinuousStatsTable[[#This Row],[Type]]&amp;ContinuousStatsTable[[#This Row],[Source]]</calculatedColumnFormula>
    </tableColumn>
    <tableColumn id="26" xr3:uid="{96AA8C13-861A-4EF9-9C16-9B05E1EB9B85}" uniqueName="26" name="RepsRequested" queryTableFieldId="14" dataDxfId="54">
      <calculatedColumnFormula array="1">MAX(IF((ProjectInfoTable[ProjectName]=ContinuousStatsTable[[#This Row],[ProjectName]]),(ProjectInfoTable[ProjectName]=ContinuousStatsTable[[#This Row],[ProjectName]])*ProjectInfoTable[NumberOfReplications]))</calculatedColumnFormula>
    </tableColumn>
    <tableColumn id="27" xr3:uid="{DC5BEF3E-5DCE-48BF-AC93-5C13B320A16A}" uniqueName="27" name="AverageOfAverage" queryTableFieldId="15" dataDxfId="53">
      <calculatedColumnFormula array="1">IFERROR(AVERAGE(IF((ContinuousStatsTable[GroupByKey]=ContinuousStatsTable[[#This Row],[GroupByKey]]),(ContinuousStatsTable[GroupByKey]=ContinuousStatsTable[[#This Row],[GroupByKey]])*ContinuousStatsTable[Average])),0)</calculatedColumnFormula>
    </tableColumn>
    <tableColumn id="28" xr3:uid="{8A83BB68-791E-4BDC-8870-4C9B13640A2F}" uniqueName="28" name="StDevOfAverage" queryTableFieldId="16" dataDxfId="52">
      <calculatedColumnFormula array="1">IFERROR(_xlfn.STDEV.S(IF((ContinuousStatsTable[GroupByKey]=ContinuousStatsTable[[#This Row],[GroupByKey]]),(ContinuousStatsTable[GroupByKey]=ContinuousStatsTable[[#This Row],[GroupByKey]])*ContinuousStatsTable[Average])),0)</calculatedColumnFormula>
    </tableColumn>
    <tableColumn id="29" xr3:uid="{4589A1B9-5226-45F5-9181-6B713B9224DD}" uniqueName="29" name="ConfidenceInterval" queryTableFieldId="17" dataDxfId="51">
      <calculatedColumnFormula array="1">MAX(IF((ProjectInfoTable[ProjectName]=ContinuousStatsTable[[#This Row],[ProjectName]]),(ProjectInfoTable[ProjectName]=ContinuousStatsTable[[#This Row],[ProjectName]])*ProjectInfoTable[ConfidenceInterval]))</calculatedColumnFormula>
    </tableColumn>
    <tableColumn id="30" xr3:uid="{276461DD-50B6-4205-B7B6-9C455CF42B35}" uniqueName="30" name="HalfWidth" queryTableFieldId="18" dataDxfId="50">
      <calculatedColumnFormula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calculatedColumnFormula>
    </tableColumn>
    <tableColumn id="31" xr3:uid="{BE7CD6BC-B4C7-41D1-9DFD-EE1C4243DE7D}" uniqueName="31" name="MinimumAverage" queryTableFieldId="19" dataDxfId="49">
      <calculatedColumnFormula array="1">MIN(IF((ContinuousStatsTable[GroupByKey]=ContinuousStatsTable[[#This Row],[GroupByKey]]),(ContinuousStatsTable[GroupByKey]=ContinuousStatsTable[[#This Row],[GroupByKey]])*ContinuousStatsTable[Average]))</calculatedColumnFormula>
    </tableColumn>
    <tableColumn id="32" xr3:uid="{3E34BA74-B5D3-4A91-B1F8-6DFD3D4CC93C}" uniqueName="32" name="MaximumAverage" queryTableFieldId="20" dataDxfId="48">
      <calculatedColumnFormula array="1">MAX(IF((ContinuousStatsTable[GroupByKey]=ContinuousStatsTable[[#This Row],[GroupByKey]]),(ContinuousStatsTable[GroupByKey]=ContinuousStatsTable[[#This Row],[GroupByKey]])*ContinuousStatsTable[Average]))</calculatedColumnFormula>
    </tableColumn>
    <tableColumn id="1" xr3:uid="{F71B2A7C-05D0-4DDC-A522-E749BF369FE4}" uniqueName="1" name="SummaryHalfWidth" queryTableFieldId="21" dataDxfId="47">
      <calculatedColumnFormula>IF((ContinuousStatsTable[[#This Row],[RepsRequested]]&gt;1),ContinuousStatsTable[[#This Row],[HalfWidth]],ContinuousStatsTable[[#This Row],[BatchMeansHalfWidth]])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514F9C1-C429-4FDA-89DC-C36D3F50723C}" name="CountersTable" displayName="CountersTable" ref="A1:O2" tableType="queryTable" insertRow="1" totalsRowShown="0">
  <autoFilter ref="A1:O2" xr:uid="{3514F9C1-C429-4FDA-89DC-C36D3F50723C}"/>
  <tableColumns count="15">
    <tableColumn id="8" xr3:uid="{311161D4-8A7A-4691-AF05-0257B359754A}" uniqueName="8" name="ProjectName" queryTableFieldId="1"/>
    <tableColumn id="9" xr3:uid="{207A7232-4220-403E-8D92-D3F5C9FA5F26}" uniqueName="9" name="Project RunDateTime" queryTableFieldId="2"/>
    <tableColumn id="10" xr3:uid="{4FBEB75E-2946-421C-86DA-1C1499130A40}" uniqueName="10" name="Replication" queryTableFieldId="3"/>
    <tableColumn id="11" xr3:uid="{3A55C6ED-76EA-4FA2-864E-62B4D2FDFA20}" uniqueName="11" name="Name" queryTableFieldId="4"/>
    <tableColumn id="12" xr3:uid="{83F90215-6DDF-44DA-B3B1-80C248BE27A1}" uniqueName="12" name="Type" queryTableFieldId="5"/>
    <tableColumn id="13" xr3:uid="{8EF8C774-3C72-4B94-B042-93F9580D7F32}" uniqueName="13" name="Source" queryTableFieldId="6"/>
    <tableColumn id="14" xr3:uid="{DCEBA966-CA65-4F2E-8D36-85D51646889B}" uniqueName="14" name="RecordedValue" queryTableFieldId="7"/>
    <tableColumn id="15" xr3:uid="{E1DF917F-BAA4-4D81-82B0-B3DB69287E66}" uniqueName="15" name="GroupByKey" queryTableFieldId="8">
      <calculatedColumnFormula>CountersTable[[#This Row],[ProjectName]]&amp;CountersTable[[#This Row],[Name]]&amp;CountersTable[[#This Row],[Type]]&amp;CountersTable[[#This Row],[Source]]</calculatedColumnFormula>
    </tableColumn>
    <tableColumn id="16" xr3:uid="{0EC31327-1462-4FCE-81FA-A93D3BC75EEC}" uniqueName="16" name="RepsRequested" queryTableFieldId="9">
      <calculatedColumnFormula array="1">MAX(IF((ProjectInfoTable[ProjectName]=CountersTable[[#This Row],[ProjectName]]),(ProjectInfoTable[ProjectName]=CountersTable[[#This Row],[ProjectName]])*ProjectInfoTable[NumberOfReplications]))</calculatedColumnFormula>
    </tableColumn>
    <tableColumn id="17" xr3:uid="{83EEC9E0-592C-47DA-9840-53EECBBBBC55}" uniqueName="17" name="Average" queryTableFieldId="10">
      <calculatedColumnFormula array="1">IFERROR(AVERAGE(IF((CountersTable[GroupByKey]=CountersTable[[#This Row],[GroupByKey]]),(CountersTable[GroupByKey]=CountersTable[[#This Row],[GroupByKey]])*CountersTable[RecordedValue])),0)</calculatedColumnFormula>
    </tableColumn>
    <tableColumn id="18" xr3:uid="{078459B2-36A2-4803-B64D-463716D95BB2}" uniqueName="18" name="StandardDeviation" queryTableFieldId="11">
      <calculatedColumnFormula array="1">IFERROR(_xlfn.STDEV.S(IF((CountersTable[GroupByKey]=CountersTable[[#This Row],[GroupByKey]]),(CountersTable[GroupByKey]=CountersTable[[#This Row],[GroupByKey]])*CountersTable[RecordedValue])),0)</calculatedColumnFormula>
    </tableColumn>
    <tableColumn id="19" xr3:uid="{2313E6BE-1372-4FCC-A225-39DD232EA3A8}" uniqueName="19" name="ConfidenceInterval" queryTableFieldId="12">
      <calculatedColumnFormula array="1">MAX(IF((ProjectInfoTable[ProjectName]=CountersTable[[#This Row],[ProjectName]]),(ProjectInfoTable[ProjectName]=CountersTable[[#This Row],[ProjectName]])*ProjectInfoTable[ConfidenceInterval]))</calculatedColumnFormula>
    </tableColumn>
    <tableColumn id="20" xr3:uid="{383558FD-8575-47BB-B3EE-D5CF8596D924}" uniqueName="20" name="HalfWidth" queryTableFieldId="13">
      <calculatedColumnFormula>IFERROR(_xlfn.T.INV.2T(1 - CountersTable[[#This Row],[ConfidenceInterval]],(CountersTable[[#This Row],[RepsRequested]]-1))*CountersTable[[#This Row],[StandardDeviation]]/SQRT(CountersTable[[#This Row],[RepsRequested]]),400000000000000000000)</calculatedColumnFormula>
    </tableColumn>
    <tableColumn id="21" xr3:uid="{6307FD8A-6094-460C-A310-5506B7FF21E8}" uniqueName="21" name="Minimum" queryTableFieldId="14">
      <calculatedColumnFormula array="1">MIN(IF((CountersTable[GroupByKey]=CountersTable[[#This Row],[GroupByKey]]),(CountersTable[GroupByKey]=CountersTable[[#This Row],[GroupByKey]])*CountersTable[RecordedValue]))</calculatedColumnFormula>
    </tableColumn>
    <tableColumn id="22" xr3:uid="{9ABA57A1-EF69-4C2D-BC8E-667C6365580F}" uniqueName="22" name="Maximum" queryTableFieldId="15">
      <calculatedColumnFormula array="1">MAX(IF((CountersTable[GroupByKey]=CountersTable[[#This Row],[GroupByKey]]),(CountersTable[GroupByKey]=CountersTable[[#This Row],[GroupByKey]])*CountersTable[RecordedValue]))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CFE6D32-2646-450F-830B-8AEF1EEBB7D0}" name="OutputTable" displayName="OutputTable" ref="A1:P16" tableType="queryTable" totalsRowShown="0">
  <autoFilter ref="A1:P16" xr:uid="{0CFE6D32-2646-450F-830B-8AEF1EEBB7D0}"/>
  <tableColumns count="16">
    <tableColumn id="8" xr3:uid="{D486C3BD-9AAC-46DD-ACC4-9BC49890CD67}" uniqueName="8" name="ProjectName" queryTableFieldId="1"/>
    <tableColumn id="9" xr3:uid="{5A09EB41-6C33-48F3-8E47-41502BD07F3F}" uniqueName="9" name="Project RunDateTime" queryTableFieldId="2"/>
    <tableColumn id="10" xr3:uid="{019A7831-98A4-4A75-86BE-F85F65BFD4AD}" uniqueName="10" name="Replication" queryTableFieldId="3"/>
    <tableColumn id="11" xr3:uid="{48A2AF62-DBFE-4B37-8B2B-9DD0FDFBE8C5}" uniqueName="11" name="Name" queryTableFieldId="4"/>
    <tableColumn id="12" xr3:uid="{B0FD435F-EA66-4320-A7D6-F910B1B3BB16}" uniqueName="12" name="Type" queryTableFieldId="5"/>
    <tableColumn id="13" xr3:uid="{27356D3B-E402-4B99-BC1D-1C90AE6D1AA6}" uniqueName="13" name="Source" queryTableFieldId="6"/>
    <tableColumn id="14" xr3:uid="{6A8BE1F8-E164-4401-823F-EA1292E98B9A}" uniqueName="14" name="RecordedValue" queryTableFieldId="7"/>
    <tableColumn id="1" xr3:uid="{6A815823-A413-416F-8205-B631079BF3CE}" uniqueName="1" name="IsPeriodic" queryTableFieldId="16"/>
    <tableColumn id="15" xr3:uid="{73216B75-E64A-499B-97E7-C9E0C4D95691}" uniqueName="15" name="GroupByKey" queryTableFieldId="8" dataDxfId="46">
      <calculatedColumnFormula>OutputTable[[#This Row],[ProjectName]]&amp;OutputTable[[#This Row],[Name]]&amp;OutputTable[[#This Row],[Type]]&amp;OutputTable[[#This Row],[Source]]</calculatedColumnFormula>
    </tableColumn>
    <tableColumn id="16" xr3:uid="{A3E53E59-BF0A-4436-ACE7-C1B1E006B035}" uniqueName="16" name="RepsRequested" queryTableFieldId="9" dataDxfId="45">
      <calculatedColumnFormula array="1">MAX(IF((ProjectInfoTable[ProjectName]=OutputTable[[#This Row],[ProjectName]]),(ProjectInfoTable[ProjectName]=OutputTable[[#This Row],[ProjectName]])*ProjectInfoTable[NumberOfReplications]))</calculatedColumnFormula>
    </tableColumn>
    <tableColumn id="17" xr3:uid="{FAE90C2A-7E5E-473F-8BB6-C855830DF435}" uniqueName="17" name="Average" queryTableFieldId="10" dataDxfId="44">
      <calculatedColumnFormula array="1">IFERROR(AVERAGE(IF((OutputTable[GroupByKey]=OutputTable[[#This Row],[GroupByKey]]),(OutputTable[GroupByKey]=OutputTable[[#This Row],[GroupByKey]])*OutputTable[RecordedValue])),0)</calculatedColumnFormula>
    </tableColumn>
    <tableColumn id="18" xr3:uid="{E1D65A78-A8CB-4748-AFBB-91D1238D1997}" uniqueName="18" name="StandardDeviation" queryTableFieldId="11" dataDxfId="43">
      <calculatedColumnFormula array="1">IFERROR(_xlfn.STDEV.S(IF((OutputTable[GroupByKey]=OutputTable[[#This Row],[GroupByKey]]),(OutputTable[GroupByKey]=OutputTable[[#This Row],[GroupByKey]])*OutputTable[RecordedValue])),0)</calculatedColumnFormula>
    </tableColumn>
    <tableColumn id="19" xr3:uid="{F0E4B0C8-5CDD-4696-A1F9-34259B30729A}" uniqueName="19" name="ConfidenceInterval" queryTableFieldId="12" dataDxfId="42">
      <calculatedColumnFormula array="1">MAX(IF((ProjectInfoTable[ProjectName]=OutputTable[[#This Row],[ProjectName]]),(ProjectInfoTable[ProjectName]=OutputTable[[#This Row],[ProjectName]])*ProjectInfoTable[ConfidenceInterval]))</calculatedColumnFormula>
    </tableColumn>
    <tableColumn id="20" xr3:uid="{F6055140-A8B2-4D78-8DA9-7F37668CF8BD}" uniqueName="20" name="HalfWidth" queryTableFieldId="13" dataDxfId="41">
      <calculatedColumnFormula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calculatedColumnFormula>
    </tableColumn>
    <tableColumn id="21" xr3:uid="{16E03B74-B6FC-4101-AF67-475C34678B76}" uniqueName="21" name="Minimum" queryTableFieldId="14" dataDxfId="40">
      <calculatedColumnFormula array="1">MIN(IF((OutputTable[GroupByKey]=OutputTable[[#This Row],[GroupByKey]]),(OutputTable[GroupByKey]=OutputTable[[#This Row],[GroupByKey]])*OutputTable[RecordedValue]))</calculatedColumnFormula>
    </tableColumn>
    <tableColumn id="22" xr3:uid="{751E9E3A-0294-49BC-AFD5-1BB07D0A01AB}" uniqueName="22" name="Maximum" queryTableFieldId="15" dataDxfId="39">
      <calculatedColumnFormula array="1">MAX(IF((OutputTable[GroupByKey]=OutputTable[[#This Row],[GroupByKey]]),(OutputTable[GroupByKey]=OutputTable[[#This Row],[GroupByKey]])*OutputTable[RecordedValue]))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343ED8-EEA5-41E8-B318-7A5C83E2F5A8}" name="FrequencyTable" displayName="FrequencyTable" ref="A1:Q2" tableType="queryTable" insertRow="1" totalsRowShown="0">
  <autoFilter ref="A1:Q2" xr:uid="{E0343ED8-EEA5-41E8-B318-7A5C83E2F5A8}"/>
  <tableColumns count="17">
    <tableColumn id="11" xr3:uid="{D1E0696C-CA6F-488E-A15C-6A4FC2F50BBE}" uniqueName="11" name="ProjectName" queryTableFieldId="1"/>
    <tableColumn id="12" xr3:uid="{ACBBEFFA-8113-4694-80A8-F7224CF1EC08}" uniqueName="12" name="Project RunDateTime" queryTableFieldId="2"/>
    <tableColumn id="13" xr3:uid="{FB09999C-E08C-40BF-B1EA-BFD8146CA103}" uniqueName="13" name="Replication" queryTableFieldId="3"/>
    <tableColumn id="14" xr3:uid="{F04EC293-A02E-4E00-9DB8-964C7A18DB2D}" uniqueName="14" name="Name" queryTableFieldId="4"/>
    <tableColumn id="15" xr3:uid="{00830461-A884-4C6C-9942-84062FF93E25}" uniqueName="15" name="Category" queryTableFieldId="5"/>
    <tableColumn id="16" xr3:uid="{5530FE9C-7555-4502-870E-4DD2C3E4B8E9}" uniqueName="16" name="Source" queryTableFieldId="6"/>
    <tableColumn id="17" xr3:uid="{9D802C8F-F3C7-4FF1-AF57-EC7887455993}" uniqueName="17" name="StandardPercentage" queryTableFieldId="7"/>
    <tableColumn id="18" xr3:uid="{29DFB714-F11F-4CAA-A5C2-7CF174781741}" uniqueName="18" name="RestrictedPercentage" queryTableFieldId="8" dataDxfId="38"/>
    <tableColumn id="19" xr3:uid="{1B58DA11-4222-4703-9B8D-130EDC3DA97C}" uniqueName="19" name="AverageTimeInCategory" queryTableFieldId="9"/>
    <tableColumn id="20" xr3:uid="{37AC61EF-71BF-4DF5-9ED9-599CBA446F03}" uniqueName="20" name="FrequencyCategoryCount" queryTableFieldId="10"/>
    <tableColumn id="1" xr3:uid="{31384D92-56C1-44A6-AEEA-3A94EE45E8C9}" uniqueName="1" name="IncludeOption" queryTableFieldId="18"/>
    <tableColumn id="21" xr3:uid="{73ACAB86-26E6-478B-857F-3C2F719ED684}" uniqueName="21" name="GroupByKey" queryTableFieldId="11">
      <calculatedColumnFormula>FrequencyTable[[#This Row],[ProjectName]]&amp;FrequencyTable[[#This Row],[Name]]&amp;FrequencyTable[[#This Row],[Category]]</calculatedColumnFormula>
    </tableColumn>
    <tableColumn id="23" xr3:uid="{61502E84-7C01-4AEF-B988-9D3B8D265790}" uniqueName="23" name="SummaryStandardPercentage" queryTableFieldId="13">
      <calculatedColumnFormula>FrequencyTable[[#This Row],[StandardPercentage]]/100</calculatedColumnFormula>
    </tableColumn>
    <tableColumn id="24" xr3:uid="{4A1374DE-04B6-48FF-B5A0-D67F4D9D18E6}" uniqueName="24" name="SummaryRestrictedPercentage" queryTableFieldId="14" dataDxfId="37">
      <calculatedColumnFormula>IF(FrequencyTable[[#This Row],[IncludeOption]]=1,(FrequencyTable[[#This Row],[RestrictedPercentage]]/100),400000000000000000000)</calculatedColumnFormula>
    </tableColumn>
    <tableColumn id="25" xr3:uid="{32932184-29EB-43F0-9DE6-B5FA2A629459}" uniqueName="25" name="RepsRequested" queryTableFieldId="15">
      <calculatedColumnFormula array="1">MAX(IF((ProjectInfoTable[ProjectName]=FrequencyTable[[#This Row],[ProjectName]]),(ProjectInfoTable[ProjectName]=FrequencyTable[[#This Row],[ProjectName]])*ProjectInfoTable[NumberOfReplications]))</calculatedColumnFormula>
    </tableColumn>
    <tableColumn id="26" xr3:uid="{4A30AC15-5ADD-45E1-B1F1-0B1BF494AACD}" uniqueName="26" name="AverageStandardPercentage" queryTableFieldId="16">
      <calculatedColumnFormula array="1">IFERROR(SUM(IF((FrequencyTable[GroupByKey]=FrequencyTable[[#This Row],[GroupByKey]]),(FrequencyTable[GroupByKey]=FrequencyTable[[#This Row],[GroupByKey]])*FrequencyTable[SummaryStandardPercentage]))/FrequencyTable[[#This Row],[RepsRequested]],0)</calculatedColumnFormula>
    </tableColumn>
    <tableColumn id="27" xr3:uid="{0AD6A5B7-BA87-467B-8BC6-68963891DBDF}" uniqueName="27" name="AverageRestrictedPercentage" queryTableFieldId="17" dataDxfId="36">
      <calculatedColumnFormula array="1">IF(FrequencyTable[[#This Row],[IncludeOption]]=1,(IFERROR(SUM(IF((FrequencyTable[GroupByKey]=FrequencyTable[[#This Row],[GroupByKey]]),(FrequencyTable[GroupByKey]=FrequencyTable[[#This Row],[GroupByKey]])*FrequencyTable[SummaryRestrictedPercentage]))/FrequencyTable[[#This Row],[RepsRequested]],0)),400000000000000000000)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F6E87-70A3-4155-8B5B-F10CEF152DA4}">
  <sheetPr codeName="Sheet10"/>
  <dimension ref="A1:G2"/>
  <sheetViews>
    <sheetView workbookViewId="0">
      <selection activeCell="D2" sqref="D2"/>
    </sheetView>
  </sheetViews>
  <sheetFormatPr defaultRowHeight="14" x14ac:dyDescent="0.3"/>
  <cols>
    <col min="1" max="1" width="15.1640625" bestFit="1" customWidth="1"/>
    <col min="2" max="2" width="55.33203125" bestFit="1" customWidth="1"/>
    <col min="3" max="3" width="19" bestFit="1" customWidth="1"/>
    <col min="4" max="4" width="11.58203125" bestFit="1" customWidth="1"/>
    <col min="5" max="5" width="23" bestFit="1" customWidth="1"/>
    <col min="6" max="6" width="24.9140625" bestFit="1" customWidth="1"/>
    <col min="7" max="7" width="19.5" bestFit="1" customWidth="1"/>
    <col min="8" max="10" width="19.4140625" bestFit="1" customWidth="1"/>
    <col min="11" max="11" width="19.4140625" customWidth="1"/>
  </cols>
  <sheetData>
    <row r="1" spans="1:7" x14ac:dyDescent="0.3">
      <c r="A1" t="s">
        <v>64</v>
      </c>
      <c r="B1" t="s">
        <v>25</v>
      </c>
      <c r="C1" t="s">
        <v>26</v>
      </c>
      <c r="D1" t="s">
        <v>39</v>
      </c>
      <c r="E1" t="s">
        <v>40</v>
      </c>
      <c r="F1" t="s">
        <v>56</v>
      </c>
      <c r="G1" t="s">
        <v>35</v>
      </c>
    </row>
    <row r="2" spans="1:7" x14ac:dyDescent="0.3">
      <c r="A2" t="s">
        <v>66</v>
      </c>
      <c r="B2" t="s">
        <v>68</v>
      </c>
      <c r="C2" t="s">
        <v>69</v>
      </c>
      <c r="D2">
        <v>2</v>
      </c>
      <c r="E2">
        <v>5</v>
      </c>
      <c r="F2">
        <v>9000</v>
      </c>
      <c r="G2">
        <f>0.95</f>
        <v>0.95</v>
      </c>
    </row>
  </sheetData>
  <phoneticPr fontId="2" type="noConversion"/>
  <conditionalFormatting sqref="D2">
    <cfRule type="expression" dxfId="35" priority="1">
      <formula>D2=3</formula>
    </cfRule>
    <cfRule type="expression" dxfId="34" priority="2">
      <formula>D2=2</formula>
    </cfRule>
    <cfRule type="expression" dxfId="33" priority="3">
      <formula>D2=1</formula>
    </cfRule>
    <cfRule type="expression" dxfId="32" priority="4">
      <formula>D2=4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FF727-8C0E-4176-9AC7-7AC080671746}">
  <sheetPr codeName="Sheet16"/>
  <dimension ref="A1:AZ8"/>
  <sheetViews>
    <sheetView tabSelected="1" workbookViewId="0">
      <selection activeCell="D11" sqref="D11"/>
    </sheetView>
  </sheetViews>
  <sheetFormatPr defaultRowHeight="14" x14ac:dyDescent="0.3"/>
  <cols>
    <col min="1" max="1" width="33.33203125" customWidth="1"/>
    <col min="2" max="2" width="28.6640625" bestFit="1" customWidth="1"/>
    <col min="3" max="3" width="12.58203125" bestFit="1" customWidth="1"/>
    <col min="4" max="4" width="8.9140625" bestFit="1" customWidth="1"/>
    <col min="5" max="5" width="29.83203125" bestFit="1" customWidth="1"/>
    <col min="6" max="6" width="20.4140625" bestFit="1" customWidth="1"/>
    <col min="7" max="7" width="11.25" bestFit="1" customWidth="1"/>
    <col min="8" max="8" width="27.83203125" bestFit="1" customWidth="1"/>
    <col min="9" max="9" width="27.58203125" bestFit="1" customWidth="1"/>
    <col min="10" max="10" width="27.83203125" bestFit="1" customWidth="1"/>
    <col min="11" max="11" width="16.4140625" bestFit="1" customWidth="1"/>
    <col min="12" max="12" width="16.75" bestFit="1" customWidth="1"/>
    <col min="13" max="13" width="30.25" bestFit="1" customWidth="1"/>
    <col min="14" max="14" width="27.6640625" bestFit="1" customWidth="1"/>
    <col min="15" max="15" width="18.6640625" bestFit="1" customWidth="1"/>
    <col min="16" max="16" width="12" bestFit="1" customWidth="1"/>
    <col min="17" max="17" width="12.58203125" bestFit="1" customWidth="1"/>
    <col min="18" max="18" width="8.9140625" bestFit="1" customWidth="1"/>
    <col min="19" max="19" width="29.83203125" bestFit="1" customWidth="1"/>
    <col min="20" max="20" width="12.33203125" bestFit="1" customWidth="1"/>
    <col min="21" max="21" width="27.83203125" bestFit="1" customWidth="1"/>
    <col min="22" max="22" width="22.4140625" bestFit="1" customWidth="1"/>
    <col min="23" max="23" width="22.75" bestFit="1" customWidth="1"/>
    <col min="24" max="24" width="16.4140625" bestFit="1" customWidth="1"/>
    <col min="25" max="25" width="16.75" bestFit="1" customWidth="1"/>
    <col min="26" max="26" width="16.33203125" bestFit="1" customWidth="1"/>
    <col min="27" max="27" width="20.6640625" bestFit="1" customWidth="1"/>
    <col min="28" max="28" width="24.6640625" bestFit="1" customWidth="1"/>
    <col min="29" max="29" width="12" bestFit="1" customWidth="1"/>
    <col min="30" max="30" width="8.9140625" bestFit="1" customWidth="1"/>
    <col min="31" max="31" width="25.5" bestFit="1" customWidth="1"/>
    <col min="32" max="32" width="10.6640625" bestFit="1" customWidth="1"/>
    <col min="33" max="33" width="30.33203125" bestFit="1" customWidth="1"/>
    <col min="34" max="34" width="20.08203125" bestFit="1" customWidth="1"/>
    <col min="35" max="35" width="20.4140625" bestFit="1" customWidth="1"/>
    <col min="36" max="36" width="19.9140625" bestFit="1" customWidth="1"/>
    <col min="37" max="37" width="32.33203125" bestFit="1" customWidth="1"/>
    <col min="38" max="38" width="24.6640625" bestFit="1" customWidth="1"/>
    <col min="39" max="39" width="12" bestFit="1" customWidth="1"/>
    <col min="40" max="40" width="8.9140625" bestFit="1" customWidth="1"/>
    <col min="41" max="41" width="25.5" bestFit="1" customWidth="1"/>
    <col min="42" max="42" width="12.33203125" bestFit="1" customWidth="1"/>
    <col min="43" max="43" width="30.33203125" bestFit="1" customWidth="1"/>
    <col min="44" max="44" width="20.08203125" bestFit="1" customWidth="1"/>
    <col min="45" max="45" width="20.4140625" bestFit="1" customWidth="1"/>
    <col min="46" max="46" width="19.9140625" bestFit="1" customWidth="1"/>
    <col min="47" max="47" width="14.9140625" bestFit="1" customWidth="1"/>
    <col min="48" max="48" width="20.6640625" bestFit="1" customWidth="1"/>
    <col min="49" max="49" width="26.33203125" bestFit="1" customWidth="1"/>
    <col min="50" max="50" width="8.9140625" bestFit="1" customWidth="1"/>
    <col min="51" max="51" width="26.9140625" bestFit="1" customWidth="1"/>
    <col min="52" max="52" width="27.9140625" bestFit="1" customWidth="1"/>
    <col min="53" max="53" width="27" bestFit="1" customWidth="1"/>
    <col min="54" max="54" width="24.9140625" bestFit="1" customWidth="1"/>
    <col min="55" max="55" width="29.33203125" bestFit="1" customWidth="1"/>
    <col min="56" max="56" width="31.9140625" bestFit="1" customWidth="1"/>
    <col min="57" max="57" width="21.6640625" bestFit="1" customWidth="1"/>
  </cols>
  <sheetData>
    <row r="1" spans="1:52" ht="17.5" x14ac:dyDescent="0.35">
      <c r="A1" s="1" t="s">
        <v>10</v>
      </c>
      <c r="O1" s="1" t="s">
        <v>12</v>
      </c>
      <c r="AA1" s="1" t="s">
        <v>18</v>
      </c>
      <c r="AK1" s="1" t="s">
        <v>13</v>
      </c>
      <c r="AU1" s="1" t="s">
        <v>11</v>
      </c>
    </row>
    <row r="2" spans="1:52" x14ac:dyDescent="0.3">
      <c r="A2" s="2" t="s">
        <v>41</v>
      </c>
      <c r="B2" s="2" t="s">
        <v>21</v>
      </c>
      <c r="C2" s="2" t="s">
        <v>23</v>
      </c>
      <c r="D2" s="2" t="s">
        <v>22</v>
      </c>
      <c r="E2" t="s">
        <v>49</v>
      </c>
      <c r="F2" t="s">
        <v>63</v>
      </c>
      <c r="G2" t="s">
        <v>28</v>
      </c>
      <c r="H2" t="s">
        <v>50</v>
      </c>
      <c r="I2" t="s">
        <v>52</v>
      </c>
      <c r="J2" t="s">
        <v>53</v>
      </c>
      <c r="K2" t="s">
        <v>19</v>
      </c>
      <c r="L2" t="s">
        <v>20</v>
      </c>
      <c r="M2" t="s">
        <v>51</v>
      </c>
      <c r="O2" s="2" t="s">
        <v>41</v>
      </c>
      <c r="P2" s="2" t="s">
        <v>21</v>
      </c>
      <c r="Q2" s="2" t="s">
        <v>23</v>
      </c>
      <c r="R2" s="2" t="s">
        <v>22</v>
      </c>
      <c r="S2" t="s">
        <v>49</v>
      </c>
      <c r="T2" t="s">
        <v>28</v>
      </c>
      <c r="U2" t="s">
        <v>50</v>
      </c>
      <c r="V2" t="s">
        <v>16</v>
      </c>
      <c r="W2" t="s">
        <v>17</v>
      </c>
      <c r="X2" t="s">
        <v>19</v>
      </c>
      <c r="Y2" t="s">
        <v>20</v>
      </c>
      <c r="AA2" s="2" t="s">
        <v>41</v>
      </c>
      <c r="AB2" s="2" t="s">
        <v>21</v>
      </c>
      <c r="AC2" s="2" t="s">
        <v>23</v>
      </c>
      <c r="AD2" s="2" t="s">
        <v>22</v>
      </c>
      <c r="AE2" t="s">
        <v>54</v>
      </c>
      <c r="AF2" t="s">
        <v>28</v>
      </c>
      <c r="AG2" t="s">
        <v>55</v>
      </c>
      <c r="AH2" t="s">
        <v>14</v>
      </c>
      <c r="AI2" t="s">
        <v>15</v>
      </c>
      <c r="AK2" s="2" t="s">
        <v>41</v>
      </c>
      <c r="AL2" s="2" t="s">
        <v>21</v>
      </c>
      <c r="AM2" s="2" t="s">
        <v>23</v>
      </c>
      <c r="AN2" s="2" t="s">
        <v>22</v>
      </c>
      <c r="AO2" t="s">
        <v>54</v>
      </c>
      <c r="AP2" t="s">
        <v>28</v>
      </c>
      <c r="AQ2" t="s">
        <v>55</v>
      </c>
      <c r="AR2" t="s">
        <v>14</v>
      </c>
      <c r="AS2" t="s">
        <v>15</v>
      </c>
      <c r="AU2" s="2" t="s">
        <v>41</v>
      </c>
      <c r="AV2" s="2" t="s">
        <v>21</v>
      </c>
      <c r="AW2" s="2" t="s">
        <v>57</v>
      </c>
      <c r="AX2" s="2" t="s">
        <v>22</v>
      </c>
      <c r="AY2" t="s">
        <v>58</v>
      </c>
      <c r="AZ2" t="s">
        <v>59</v>
      </c>
    </row>
    <row r="3" spans="1:52" x14ac:dyDescent="0.3">
      <c r="A3" t="s">
        <v>66</v>
      </c>
      <c r="B3" t="s">
        <v>70</v>
      </c>
      <c r="C3" t="s">
        <v>71</v>
      </c>
      <c r="D3" t="s">
        <v>72</v>
      </c>
      <c r="E3" s="5">
        <v>0</v>
      </c>
      <c r="F3" s="5">
        <v>1</v>
      </c>
      <c r="G3" s="5">
        <v>0</v>
      </c>
      <c r="H3" s="5">
        <v>0</v>
      </c>
      <c r="I3" s="5">
        <v>0</v>
      </c>
      <c r="J3" s="5">
        <v>0</v>
      </c>
      <c r="K3" s="5">
        <v>0</v>
      </c>
      <c r="L3" s="5">
        <v>0</v>
      </c>
      <c r="M3" s="5">
        <v>5994.2</v>
      </c>
      <c r="O3" t="s">
        <v>66</v>
      </c>
      <c r="P3" t="s">
        <v>70</v>
      </c>
      <c r="Q3" t="s">
        <v>78</v>
      </c>
      <c r="R3" t="s">
        <v>72</v>
      </c>
      <c r="S3" s="5">
        <v>0.70107130518471239</v>
      </c>
      <c r="T3" s="5">
        <v>2.4790805675003525E-3</v>
      </c>
      <c r="U3" s="5">
        <v>1.9965792445353014E-3</v>
      </c>
      <c r="V3" s="5">
        <v>0.69779527147015896</v>
      </c>
      <c r="W3" s="5">
        <v>0.70268495822544996</v>
      </c>
      <c r="X3" s="5">
        <v>0</v>
      </c>
      <c r="Y3" s="5">
        <v>2</v>
      </c>
      <c r="AA3" t="s">
        <v>85</v>
      </c>
      <c r="AB3" t="s">
        <v>85</v>
      </c>
      <c r="AC3" t="s">
        <v>85</v>
      </c>
      <c r="AD3" t="s">
        <v>85</v>
      </c>
      <c r="AE3" s="5"/>
      <c r="AF3" s="5"/>
      <c r="AG3" s="5"/>
      <c r="AH3" s="5"/>
      <c r="AI3" s="5"/>
      <c r="AK3" t="s">
        <v>66</v>
      </c>
      <c r="AL3" t="s">
        <v>83</v>
      </c>
      <c r="AM3" t="s">
        <v>82</v>
      </c>
      <c r="AN3" t="s">
        <v>84</v>
      </c>
      <c r="AO3" s="5">
        <v>5994.2</v>
      </c>
      <c r="AP3" s="5">
        <v>14.140803164292532</v>
      </c>
      <c r="AQ3" s="5">
        <v>11.388590782006348</v>
      </c>
      <c r="AR3" s="5">
        <v>5985</v>
      </c>
      <c r="AS3" s="5">
        <v>6014</v>
      </c>
      <c r="AU3" t="s">
        <v>85</v>
      </c>
      <c r="AV3" t="s">
        <v>85</v>
      </c>
      <c r="AW3" t="s">
        <v>85</v>
      </c>
      <c r="AX3" t="s">
        <v>85</v>
      </c>
      <c r="AY3" s="4"/>
      <c r="AZ3" s="4"/>
    </row>
    <row r="4" spans="1:52" x14ac:dyDescent="0.3">
      <c r="C4" t="s">
        <v>73</v>
      </c>
      <c r="D4" t="s">
        <v>72</v>
      </c>
      <c r="E4" s="5">
        <v>0</v>
      </c>
      <c r="F4" s="5">
        <v>1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5994.2</v>
      </c>
      <c r="AL4" t="s">
        <v>79</v>
      </c>
      <c r="AM4" t="s">
        <v>80</v>
      </c>
      <c r="AN4" t="s">
        <v>72</v>
      </c>
      <c r="AO4" s="5">
        <v>5994.4</v>
      </c>
      <c r="AP4" s="5">
        <v>14.091655601641488</v>
      </c>
      <c r="AQ4" s="5">
        <v>11.349008767288886</v>
      </c>
      <c r="AR4" s="5">
        <v>5985</v>
      </c>
      <c r="AS4" s="5">
        <v>6014</v>
      </c>
    </row>
    <row r="5" spans="1:52" x14ac:dyDescent="0.3">
      <c r="C5" t="s">
        <v>74</v>
      </c>
      <c r="D5" t="s">
        <v>72</v>
      </c>
      <c r="E5" s="5">
        <v>1.0525621799284077</v>
      </c>
      <c r="F5" s="5">
        <v>1</v>
      </c>
      <c r="G5" s="5">
        <v>3.8083803512072032E-3</v>
      </c>
      <c r="H5" s="5">
        <v>3.067158552326994E-3</v>
      </c>
      <c r="I5" s="5">
        <v>1.04817101181257</v>
      </c>
      <c r="J5" s="5">
        <v>1.05658522318634</v>
      </c>
      <c r="K5" s="5">
        <v>0.22718674792668</v>
      </c>
      <c r="L5" s="5">
        <v>1.8077917986534</v>
      </c>
      <c r="M5" s="5">
        <v>5994.2</v>
      </c>
      <c r="AL5" t="s">
        <v>81</v>
      </c>
      <c r="AM5" t="s">
        <v>82</v>
      </c>
      <c r="AN5" t="s">
        <v>72</v>
      </c>
      <c r="AO5" s="5">
        <v>5994.2</v>
      </c>
      <c r="AP5" s="5">
        <v>14.140803164292532</v>
      </c>
      <c r="AQ5" s="5">
        <v>11.388590782006348</v>
      </c>
      <c r="AR5" s="5">
        <v>5985</v>
      </c>
      <c r="AS5" s="5">
        <v>6014</v>
      </c>
    </row>
    <row r="6" spans="1:52" x14ac:dyDescent="0.3">
      <c r="C6" t="s">
        <v>75</v>
      </c>
      <c r="D6" t="s">
        <v>72</v>
      </c>
      <c r="E6" s="5">
        <v>0</v>
      </c>
      <c r="F6" s="5">
        <v>1</v>
      </c>
      <c r="G6" s="5">
        <v>0</v>
      </c>
      <c r="H6" s="5">
        <v>0</v>
      </c>
      <c r="I6" s="5">
        <v>0</v>
      </c>
      <c r="J6" s="5">
        <v>0</v>
      </c>
      <c r="K6" s="5">
        <v>0</v>
      </c>
      <c r="L6" s="5">
        <v>0</v>
      </c>
      <c r="M6" s="5">
        <v>5994.2</v>
      </c>
    </row>
    <row r="7" spans="1:52" x14ac:dyDescent="0.3">
      <c r="C7" t="s">
        <v>76</v>
      </c>
      <c r="D7" t="s">
        <v>72</v>
      </c>
      <c r="E7" s="5">
        <v>1.0525621799284077</v>
      </c>
      <c r="F7" s="5">
        <v>1</v>
      </c>
      <c r="G7" s="5">
        <v>3.8083803512072032E-3</v>
      </c>
      <c r="H7" s="5">
        <v>3.067158552326994E-3</v>
      </c>
      <c r="I7" s="5">
        <v>1.04817101181257</v>
      </c>
      <c r="J7" s="5">
        <v>1.05658522318634</v>
      </c>
      <c r="K7" s="5">
        <v>0.22718674792668</v>
      </c>
      <c r="L7" s="5">
        <v>1.8077917986534</v>
      </c>
      <c r="M7" s="5">
        <v>5994.2</v>
      </c>
    </row>
    <row r="8" spans="1:52" x14ac:dyDescent="0.3">
      <c r="C8" t="s">
        <v>77</v>
      </c>
      <c r="D8" t="s">
        <v>72</v>
      </c>
      <c r="E8" s="5">
        <v>0</v>
      </c>
      <c r="F8" s="5">
        <v>1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5994.2</v>
      </c>
    </row>
  </sheetData>
  <dataConsolidate/>
  <phoneticPr fontId="3" type="noConversion"/>
  <conditionalFormatting pivot="1" sqref="G3:G8">
    <cfRule type="expression" dxfId="31" priority="14">
      <formula>G3=200000000000000000000</formula>
    </cfRule>
  </conditionalFormatting>
  <conditionalFormatting pivot="1" sqref="T3">
    <cfRule type="expression" dxfId="30" priority="13">
      <formula>T3=200000000000000000000</formula>
    </cfRule>
  </conditionalFormatting>
  <conditionalFormatting pivot="1" sqref="T3">
    <cfRule type="expression" dxfId="29" priority="12">
      <formula>T3=300000000000000000000</formula>
    </cfRule>
  </conditionalFormatting>
  <conditionalFormatting pivot="1" sqref="G3:G8">
    <cfRule type="expression" dxfId="28" priority="11">
      <formula>G3=300000000000000000000</formula>
    </cfRule>
  </conditionalFormatting>
  <conditionalFormatting pivot="1" sqref="F3:F8">
    <cfRule type="expression" dxfId="27" priority="10">
      <formula>F3=0</formula>
    </cfRule>
  </conditionalFormatting>
  <conditionalFormatting pivot="1" sqref="F3:F8">
    <cfRule type="expression" dxfId="26" priority="9">
      <formula>F3=1</formula>
    </cfRule>
  </conditionalFormatting>
  <conditionalFormatting pivot="1" sqref="T3">
    <cfRule type="expression" dxfId="25" priority="8">
      <formula>T3=400000000000000000000</formula>
    </cfRule>
  </conditionalFormatting>
  <conditionalFormatting pivot="1" sqref="AP3:AP5">
    <cfRule type="expression" dxfId="24" priority="7">
      <formula>AP3=400000000000000000000</formula>
    </cfRule>
  </conditionalFormatting>
  <conditionalFormatting pivot="1" sqref="AF3">
    <cfRule type="expression" dxfId="23" priority="6">
      <formula>AF3=400000000000000000000</formula>
    </cfRule>
  </conditionalFormatting>
  <conditionalFormatting pivot="1" sqref="G3:G8">
    <cfRule type="expression" dxfId="22" priority="5">
      <formula>G3=400000000000000000000</formula>
    </cfRule>
  </conditionalFormatting>
  <conditionalFormatting pivot="1" sqref="AZ3">
    <cfRule type="expression" dxfId="21" priority="1">
      <formula>AZ3=4E+22%</formula>
    </cfRule>
  </conditionalFormatting>
  <pageMargins left="0.7" right="0.7" top="0.75" bottom="0.75" header="0.3" footer="0.3"/>
  <pageSetup orientation="portrait"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04063-8678-4C39-A793-CE510D1109E9}">
  <sheetPr codeName="Sheet11"/>
  <dimension ref="A1:Y61"/>
  <sheetViews>
    <sheetView workbookViewId="0">
      <selection activeCell="A2" sqref="A2:K61"/>
    </sheetView>
  </sheetViews>
  <sheetFormatPr defaultRowHeight="14" x14ac:dyDescent="0.3"/>
  <cols>
    <col min="1" max="1" width="15.1640625" bestFit="1" customWidth="1"/>
    <col min="2" max="2" width="21.58203125" bestFit="1" customWidth="1"/>
    <col min="3" max="3" width="12.6640625" bestFit="1" customWidth="1"/>
    <col min="4" max="4" width="8.1640625" bestFit="1" customWidth="1"/>
    <col min="5" max="5" width="11.83203125" bestFit="1" customWidth="1"/>
    <col min="6" max="6" width="8.9140625" bestFit="1" customWidth="1"/>
    <col min="7" max="7" width="12.33203125" bestFit="1" customWidth="1"/>
    <col min="8" max="8" width="22.5" bestFit="1" customWidth="1"/>
    <col min="9" max="10" width="12.33203125" bestFit="1" customWidth="1"/>
    <col min="11" max="11" width="21.58203125" bestFit="1" customWidth="1"/>
    <col min="12" max="12" width="34.4140625" bestFit="1" customWidth="1"/>
    <col min="13" max="13" width="16.4140625" bestFit="1" customWidth="1"/>
    <col min="14" max="14" width="19.5" bestFit="1" customWidth="1"/>
    <col min="15" max="15" width="17.5" bestFit="1" customWidth="1"/>
    <col min="16" max="16" width="19.5" bestFit="1" customWidth="1"/>
    <col min="17" max="17" width="11.75" bestFit="1" customWidth="1"/>
    <col min="18" max="18" width="18.5" bestFit="1" customWidth="1"/>
    <col min="19" max="19" width="18.83203125" bestFit="1" customWidth="1"/>
    <col min="20" max="20" width="17.58203125" bestFit="1" customWidth="1"/>
    <col min="21" max="21" width="17.83203125" bestFit="1" customWidth="1"/>
    <col min="22" max="22" width="28.9140625" bestFit="1" customWidth="1"/>
    <col min="23" max="23" width="20.08203125" bestFit="1" customWidth="1"/>
    <col min="24" max="24" width="23.1640625" bestFit="1" customWidth="1"/>
    <col min="25" max="25" width="21.9140625" bestFit="1" customWidth="1"/>
  </cols>
  <sheetData>
    <row r="1" spans="1:25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5</v>
      </c>
      <c r="L1" t="s">
        <v>24</v>
      </c>
      <c r="M1" t="s">
        <v>60</v>
      </c>
      <c r="N1" t="s">
        <v>30</v>
      </c>
      <c r="O1" t="s">
        <v>31</v>
      </c>
      <c r="P1" t="s">
        <v>35</v>
      </c>
      <c r="Q1" t="s">
        <v>44</v>
      </c>
      <c r="R1" t="s">
        <v>32</v>
      </c>
      <c r="S1" t="s">
        <v>33</v>
      </c>
      <c r="T1" t="s">
        <v>36</v>
      </c>
      <c r="U1" t="s">
        <v>37</v>
      </c>
      <c r="V1" t="s">
        <v>38</v>
      </c>
      <c r="W1" t="s">
        <v>46</v>
      </c>
      <c r="X1" t="s">
        <v>61</v>
      </c>
      <c r="Y1" t="s">
        <v>62</v>
      </c>
    </row>
    <row r="2" spans="1:25" x14ac:dyDescent="0.3">
      <c r="A2" t="s">
        <v>66</v>
      </c>
      <c r="B2" t="s">
        <v>69</v>
      </c>
      <c r="C2">
        <v>1</v>
      </c>
      <c r="D2" t="s">
        <v>70</v>
      </c>
      <c r="E2" t="s">
        <v>71</v>
      </c>
      <c r="F2" t="s">
        <v>72</v>
      </c>
      <c r="G2">
        <v>0</v>
      </c>
      <c r="H2">
        <v>0</v>
      </c>
      <c r="I2">
        <v>0</v>
      </c>
      <c r="J2">
        <v>0</v>
      </c>
      <c r="K2">
        <v>5992</v>
      </c>
      <c r="L2" t="str">
        <f>DiscreteStatsTable[[#This Row],[ProjectName]]&amp;DiscreteStatsTable[[#This Row],[Name]]&amp;DiscreteStatsTable[[#This Row],[Type]]&amp;DiscreteStatsTable[[#This Row],[Source]]</f>
        <v>Unnamed ProjectPartNVA TimeEntity</v>
      </c>
      <c r="M2" cm="1">
        <f t="array" ref="M2">MAX(IF((ProjectInfoTable[ProjectName]=DiscreteStatsTable[[#This Row],[ProjectName]]),(ProjectInfoTable[ProjectName]=DiscreteStatsTable[[#This Row],[ProjectName]])*ProjectInfoTable[NumberOfReplications]))</f>
        <v>5</v>
      </c>
      <c r="N2" cm="1">
        <f t="array" ref="N2">IFERROR(AVERAGE(IF((DiscreteStatsTable[GroupByKey]=DiscreteStatsTable[[#This Row],[GroupByKey]]),(DiscreteStatsTable[GroupByKey]=DiscreteStatsTable[[#This Row],[GroupByKey]])*DiscreteStatsTable[Average])),0)</f>
        <v>0</v>
      </c>
      <c r="O2" cm="1">
        <f t="array" ref="O2">IFERROR(_xlfn.STDEV.S(IF((DiscreteStatsTable[GroupByKey]=DiscreteStatsTable[[#This Row],[GroupByKey]]),(DiscreteStatsTable[GroupByKey]=DiscreteStatsTable[[#This Row],[GroupByKey]])*DiscreteStatsTable[Average])),0)</f>
        <v>0</v>
      </c>
      <c r="P2" cm="1">
        <f t="array" ref="P2">MAX(IF((ProjectInfoTable[ProjectName]=DiscreteStatsTable[[#This Row],[ProjectName]]),(ProjectInfoTable[ProjectName]=DiscreteStatsTable[[#This Row],[ProjectName]])*ProjectInfoTable[ConfidenceInterval]))</f>
        <v>0.95</v>
      </c>
      <c r="Q2">
        <f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" cm="1">
        <f t="array" ref="R2">MIN(IF((DiscreteStatsTable[GroupByKey]=DiscreteStatsTable[[#This Row],[GroupByKey]]),(DiscreteStatsTable[GroupByKey]=DiscreteStatsTable[[#This Row],[GroupByKey]])*DiscreteStatsTable[Average]))</f>
        <v>0</v>
      </c>
      <c r="S2" cm="1">
        <f t="array" ref="S2">MAX(IF((DiscreteStatsTable[GroupByKey]=DiscreteStatsTable[[#This Row],[GroupByKey]]),(DiscreteStatsTable[GroupByKey]=DiscreteStatsTable[[#This Row],[GroupByKey]])*DiscreteStatsTable[Average]))</f>
        <v>0</v>
      </c>
      <c r="T2" cm="1">
        <f t="array" ref="T2">MIN(IF((DiscreteStatsTable[GroupByKey]=DiscreteStatsTable[[#This Row],[GroupByKey]]),(DiscreteStatsTable[GroupByKey]=DiscreteStatsTable[[#This Row],[GroupByKey]])*DiscreteStatsTable[Minimum]))</f>
        <v>0</v>
      </c>
      <c r="U2" cm="1">
        <f t="array" ref="U2">MAX(IF((DiscreteStatsTable[GroupByKey]=DiscreteStatsTable[[#This Row],[GroupByKey]]),(DiscreteStatsTable[GroupByKey]=DiscreteStatsTable[[#This Row],[GroupByKey]])*DiscreteStatsTable[Maximum]))</f>
        <v>0</v>
      </c>
      <c r="V2" cm="1">
        <f t="array" ref="V2">IFERROR(AVERAGE(IF((DiscreteStatsTable[GroupByKey]=DiscreteStatsTable[[#This Row],[GroupByKey]]),(DiscreteStatsTable[GroupByKey]=DiscreteStatsTable[[#This Row],[GroupByKey]])*DiscreteStatsTable[NumberObservations])),0)</f>
        <v>5994.2</v>
      </c>
      <c r="W2">
        <f>IF((DiscreteStatsTable[[#This Row],[RepsRequested]]&gt;1),DiscreteStatsTable[[#This Row],[HalfWidth]],DiscreteStatsTable[[#This Row],[BatchMeansHalfWidth]])</f>
        <v>0</v>
      </c>
      <c r="X2" cm="1">
        <f t="array" ref="X2">COUNT(IF((DiscreteStatsTable[GroupByKey]=DiscreteStatsTable[[#This Row],[GroupByKey]]),(DiscreteStatsTable[GroupByKey]=DiscreteStatsTable[[#This Row],[GroupByKey]])*DiscreteStatsTable[Replication]))</f>
        <v>5</v>
      </c>
      <c r="Y2">
        <f>IF(DiscreteStatsTable[[#This Row],[RepsRequested]]=DiscreteStatsTable[[#This Row],[RepsWithStatObserved]],1,0)</f>
        <v>1</v>
      </c>
    </row>
    <row r="3" spans="1:25" x14ac:dyDescent="0.3">
      <c r="A3" t="s">
        <v>66</v>
      </c>
      <c r="B3" t="s">
        <v>69</v>
      </c>
      <c r="C3">
        <v>1</v>
      </c>
      <c r="D3" t="s">
        <v>70</v>
      </c>
      <c r="E3" t="s">
        <v>73</v>
      </c>
      <c r="F3" t="s">
        <v>72</v>
      </c>
      <c r="G3">
        <v>0</v>
      </c>
      <c r="H3">
        <v>0</v>
      </c>
      <c r="I3">
        <v>0</v>
      </c>
      <c r="J3">
        <v>0</v>
      </c>
      <c r="K3">
        <v>5992</v>
      </c>
      <c r="L3" t="str">
        <f>DiscreteStatsTable[[#This Row],[ProjectName]]&amp;DiscreteStatsTable[[#This Row],[Name]]&amp;DiscreteStatsTable[[#This Row],[Type]]&amp;DiscreteStatsTable[[#This Row],[Source]]</f>
        <v>Unnamed ProjectPartOther TimeEntity</v>
      </c>
      <c r="M3" cm="1">
        <f t="array" ref="M3">MAX(IF((ProjectInfoTable[ProjectName]=DiscreteStatsTable[[#This Row],[ProjectName]]),(ProjectInfoTable[ProjectName]=DiscreteStatsTable[[#This Row],[ProjectName]])*ProjectInfoTable[NumberOfReplications]))</f>
        <v>5</v>
      </c>
      <c r="N3" cm="1">
        <f t="array" ref="N3">IFERROR(AVERAGE(IF((DiscreteStatsTable[GroupByKey]=DiscreteStatsTable[[#This Row],[GroupByKey]]),(DiscreteStatsTable[GroupByKey]=DiscreteStatsTable[[#This Row],[GroupByKey]])*DiscreteStatsTable[Average])),0)</f>
        <v>0</v>
      </c>
      <c r="O3" cm="1">
        <f t="array" ref="O3">IFERROR(_xlfn.STDEV.S(IF((DiscreteStatsTable[GroupByKey]=DiscreteStatsTable[[#This Row],[GroupByKey]]),(DiscreteStatsTable[GroupByKey]=DiscreteStatsTable[[#This Row],[GroupByKey]])*DiscreteStatsTable[Average])),0)</f>
        <v>0</v>
      </c>
      <c r="P3" cm="1">
        <f t="array" ref="P3">MAX(IF((ProjectInfoTable[ProjectName]=DiscreteStatsTable[[#This Row],[ProjectName]]),(ProjectInfoTable[ProjectName]=DiscreteStatsTable[[#This Row],[ProjectName]])*ProjectInfoTable[ConfidenceInterval]))</f>
        <v>0.95</v>
      </c>
      <c r="Q3">
        <f>IF(AND(DiscreteStatsTable[[#This Row],[RepsWithStatObserved]]=1,Y3=0),200000000000000000000,IFERROR(_xlfn.T.INV.2T(1 -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" cm="1">
        <f t="array" ref="R3">MIN(IF((DiscreteStatsTable[GroupByKey]=DiscreteStatsTable[[#This Row],[GroupByKey]]),(DiscreteStatsTable[GroupByKey]=DiscreteStatsTable[[#This Row],[GroupByKey]])*DiscreteStatsTable[Average]))</f>
        <v>0</v>
      </c>
      <c r="S3" cm="1">
        <f t="array" ref="S3">MAX(IF((DiscreteStatsTable[GroupByKey]=DiscreteStatsTable[[#This Row],[GroupByKey]]),(DiscreteStatsTable[GroupByKey]=DiscreteStatsTable[[#This Row],[GroupByKey]])*DiscreteStatsTable[Average]))</f>
        <v>0</v>
      </c>
      <c r="T3" cm="1">
        <f t="array" ref="T3">MIN(IF((DiscreteStatsTable[GroupByKey]=DiscreteStatsTable[[#This Row],[GroupByKey]]),(DiscreteStatsTable[GroupByKey]=DiscreteStatsTable[[#This Row],[GroupByKey]])*DiscreteStatsTable[Minimum]))</f>
        <v>0</v>
      </c>
      <c r="U3" cm="1">
        <f t="array" ref="U3">MAX(IF((DiscreteStatsTable[GroupByKey]=DiscreteStatsTable[[#This Row],[GroupByKey]]),(DiscreteStatsTable[GroupByKey]=DiscreteStatsTable[[#This Row],[GroupByKey]])*DiscreteStatsTable[Maximum]))</f>
        <v>0</v>
      </c>
      <c r="V3" cm="1">
        <f t="array" ref="V3">IFERROR(AVERAGE(IF((DiscreteStatsTable[GroupByKey]=DiscreteStatsTable[[#This Row],[GroupByKey]]),(DiscreteStatsTable[GroupByKey]=DiscreteStatsTable[[#This Row],[GroupByKey]])*DiscreteStatsTable[NumberObservations])),0)</f>
        <v>5994.2</v>
      </c>
      <c r="W3">
        <f>IF((DiscreteStatsTable[[#This Row],[RepsRequested]]&gt;1),DiscreteStatsTable[[#This Row],[HalfWidth]],DiscreteStatsTable[[#This Row],[BatchMeansHalfWidth]])</f>
        <v>0</v>
      </c>
      <c r="X3" cm="1">
        <f t="array" ref="X3">COUNT(IF((DiscreteStatsTable[GroupByKey]=DiscreteStatsTable[[#This Row],[GroupByKey]]),(DiscreteStatsTable[GroupByKey]=DiscreteStatsTable[[#This Row],[GroupByKey]])*DiscreteStatsTable[Replication]))</f>
        <v>5</v>
      </c>
      <c r="Y3">
        <f>IF(DiscreteStatsTable[[#This Row],[RepsRequested]]=DiscreteStatsTable[[#This Row],[RepsWithStatObserved]],1,0)</f>
        <v>1</v>
      </c>
    </row>
    <row r="4" spans="1:25" x14ac:dyDescent="0.3">
      <c r="A4" t="s">
        <v>66</v>
      </c>
      <c r="B4" t="s">
        <v>69</v>
      </c>
      <c r="C4">
        <v>1</v>
      </c>
      <c r="D4" t="s">
        <v>70</v>
      </c>
      <c r="E4" t="s">
        <v>74</v>
      </c>
      <c r="F4" t="s">
        <v>72</v>
      </c>
      <c r="G4">
        <v>1.05282031858137</v>
      </c>
      <c r="H4">
        <v>3E+20</v>
      </c>
      <c r="I4">
        <v>0.34246530681866699</v>
      </c>
      <c r="J4">
        <v>1.78453084959256</v>
      </c>
      <c r="K4">
        <v>5992</v>
      </c>
      <c r="L4" t="str">
        <f>DiscreteStatsTable[[#This Row],[ProjectName]]&amp;DiscreteStatsTable[[#This Row],[Name]]&amp;DiscreteStatsTable[[#This Row],[Type]]&amp;DiscreteStatsTable[[#This Row],[Source]]</f>
        <v>Unnamed ProjectPartTotal TimeEntity</v>
      </c>
      <c r="M4" cm="1">
        <f t="array" ref="M4">MAX(IF((ProjectInfoTable[ProjectName]=DiscreteStatsTable[[#This Row],[ProjectName]]),(ProjectInfoTable[ProjectName]=DiscreteStatsTable[[#This Row],[ProjectName]])*ProjectInfoTable[NumberOfReplications]))</f>
        <v>5</v>
      </c>
      <c r="N4" cm="1">
        <f t="array" ref="N4">IFERROR(AVERAGE(IF((DiscreteStatsTable[GroupByKey]=DiscreteStatsTable[[#This Row],[GroupByKey]]),(DiscreteStatsTable[GroupByKey]=DiscreteStatsTable[[#This Row],[GroupByKey]])*DiscreteStatsTable[Average])),0)</f>
        <v>1.0525621799284077</v>
      </c>
      <c r="O4" cm="1">
        <f t="array" ref="O4">IFERROR(_xlfn.STDEV.S(IF((DiscreteStatsTable[GroupByKey]=DiscreteStatsTable[[#This Row],[GroupByKey]]),(DiscreteStatsTable[GroupByKey]=DiscreteStatsTable[[#This Row],[GroupByKey]])*DiscreteStatsTable[Average])),0)</f>
        <v>3.067158552326994E-3</v>
      </c>
      <c r="P4" cm="1">
        <f t="array" ref="P4">MAX(IF((ProjectInfoTable[ProjectName]=DiscreteStatsTable[[#This Row],[ProjectName]]),(ProjectInfoTable[ProjectName]=DiscreteStatsTable[[#This Row],[ProjectName]])*ProjectInfoTable[ConfidenceInterval]))</f>
        <v>0.95</v>
      </c>
      <c r="Q4">
        <f>IF(AND(DiscreteStatsTable[[#This Row],[RepsWithStatObserved]]=1,Y4=0),200000000000000000000,IFERROR(_xlfn.T.INV.2T(1 -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3.8083803512072032E-3</v>
      </c>
      <c r="R4" cm="1">
        <f t="array" ref="R4">MIN(IF((DiscreteStatsTable[GroupByKey]=DiscreteStatsTable[[#This Row],[GroupByKey]]),(DiscreteStatsTable[GroupByKey]=DiscreteStatsTable[[#This Row],[GroupByKey]])*DiscreteStatsTable[Average]))</f>
        <v>1.04817101181257</v>
      </c>
      <c r="S4" cm="1">
        <f t="array" ref="S4">MAX(IF((DiscreteStatsTable[GroupByKey]=DiscreteStatsTable[[#This Row],[GroupByKey]]),(DiscreteStatsTable[GroupByKey]=DiscreteStatsTable[[#This Row],[GroupByKey]])*DiscreteStatsTable[Average]))</f>
        <v>1.05658522318634</v>
      </c>
      <c r="T4" cm="1">
        <f t="array" ref="T4">MIN(IF((DiscreteStatsTable[GroupByKey]=DiscreteStatsTable[[#This Row],[GroupByKey]]),(DiscreteStatsTable[GroupByKey]=DiscreteStatsTable[[#This Row],[GroupByKey]])*DiscreteStatsTable[Minimum]))</f>
        <v>0.22718674792668</v>
      </c>
      <c r="U4" cm="1">
        <f t="array" ref="U4">MAX(IF((DiscreteStatsTable[GroupByKey]=DiscreteStatsTable[[#This Row],[GroupByKey]]),(DiscreteStatsTable[GroupByKey]=DiscreteStatsTable[[#This Row],[GroupByKey]])*DiscreteStatsTable[Maximum]))</f>
        <v>1.8077917986534</v>
      </c>
      <c r="V4" cm="1">
        <f t="array" ref="V4">IFERROR(AVERAGE(IF((DiscreteStatsTable[GroupByKey]=DiscreteStatsTable[[#This Row],[GroupByKey]]),(DiscreteStatsTable[GroupByKey]=DiscreteStatsTable[[#This Row],[GroupByKey]])*DiscreteStatsTable[NumberObservations])),0)</f>
        <v>5994.2</v>
      </c>
      <c r="W4">
        <f>IF((DiscreteStatsTable[[#This Row],[RepsRequested]]&gt;1),DiscreteStatsTable[[#This Row],[HalfWidth]],DiscreteStatsTable[[#This Row],[BatchMeansHalfWidth]])</f>
        <v>3.8083803512072032E-3</v>
      </c>
      <c r="X4" cm="1">
        <f t="array" ref="X4">COUNT(IF((DiscreteStatsTable[GroupByKey]=DiscreteStatsTable[[#This Row],[GroupByKey]]),(DiscreteStatsTable[GroupByKey]=DiscreteStatsTable[[#This Row],[GroupByKey]])*DiscreteStatsTable[Replication]))</f>
        <v>5</v>
      </c>
      <c r="Y4">
        <f>IF(DiscreteStatsTable[[#This Row],[RepsRequested]]=DiscreteStatsTable[[#This Row],[RepsWithStatObserved]],1,0)</f>
        <v>1</v>
      </c>
    </row>
    <row r="5" spans="1:25" x14ac:dyDescent="0.3">
      <c r="A5" t="s">
        <v>66</v>
      </c>
      <c r="B5" t="s">
        <v>69</v>
      </c>
      <c r="C5">
        <v>1</v>
      </c>
      <c r="D5" t="s">
        <v>70</v>
      </c>
      <c r="E5" t="s">
        <v>75</v>
      </c>
      <c r="F5" t="s">
        <v>72</v>
      </c>
      <c r="G5">
        <v>0</v>
      </c>
      <c r="H5">
        <v>0</v>
      </c>
      <c r="I5">
        <v>0</v>
      </c>
      <c r="J5">
        <v>0</v>
      </c>
      <c r="K5">
        <v>5992</v>
      </c>
      <c r="L5" t="str">
        <f>DiscreteStatsTable[[#This Row],[ProjectName]]&amp;DiscreteStatsTable[[#This Row],[Name]]&amp;DiscreteStatsTable[[#This Row],[Type]]&amp;DiscreteStatsTable[[#This Row],[Source]]</f>
        <v>Unnamed ProjectPartTransfer TimeEntity</v>
      </c>
      <c r="M5" cm="1">
        <f t="array" ref="M5">MAX(IF((ProjectInfoTable[ProjectName]=DiscreteStatsTable[[#This Row],[ProjectName]]),(ProjectInfoTable[ProjectName]=DiscreteStatsTable[[#This Row],[ProjectName]])*ProjectInfoTable[NumberOfReplications]))</f>
        <v>5</v>
      </c>
      <c r="N5" cm="1">
        <f t="array" ref="N5">IFERROR(AVERAGE(IF((DiscreteStatsTable[GroupByKey]=DiscreteStatsTable[[#This Row],[GroupByKey]]),(DiscreteStatsTable[GroupByKey]=DiscreteStatsTable[[#This Row],[GroupByKey]])*DiscreteStatsTable[Average])),0)</f>
        <v>0</v>
      </c>
      <c r="O5" cm="1">
        <f t="array" ref="O5">IFERROR(_xlfn.STDEV.S(IF((DiscreteStatsTable[GroupByKey]=DiscreteStatsTable[[#This Row],[GroupByKey]]),(DiscreteStatsTable[GroupByKey]=DiscreteStatsTable[[#This Row],[GroupByKey]])*DiscreteStatsTable[Average])),0)</f>
        <v>0</v>
      </c>
      <c r="P5" cm="1">
        <f t="array" ref="P5">MAX(IF((ProjectInfoTable[ProjectName]=DiscreteStatsTable[[#This Row],[ProjectName]]),(ProjectInfoTable[ProjectName]=DiscreteStatsTable[[#This Row],[ProjectName]])*ProjectInfoTable[ConfidenceInterval]))</f>
        <v>0.95</v>
      </c>
      <c r="Q5">
        <f>IF(AND(DiscreteStatsTable[[#This Row],[RepsWithStatObserved]]=1,Y5=0),200000000000000000000,IFERROR(_xlfn.T.INV.2T(1 -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" cm="1">
        <f t="array" ref="R5">MIN(IF((DiscreteStatsTable[GroupByKey]=DiscreteStatsTable[[#This Row],[GroupByKey]]),(DiscreteStatsTable[GroupByKey]=DiscreteStatsTable[[#This Row],[GroupByKey]])*DiscreteStatsTable[Average]))</f>
        <v>0</v>
      </c>
      <c r="S5" cm="1">
        <f t="array" ref="S5">MAX(IF((DiscreteStatsTable[GroupByKey]=DiscreteStatsTable[[#This Row],[GroupByKey]]),(DiscreteStatsTable[GroupByKey]=DiscreteStatsTable[[#This Row],[GroupByKey]])*DiscreteStatsTable[Average]))</f>
        <v>0</v>
      </c>
      <c r="T5" cm="1">
        <f t="array" ref="T5">MIN(IF((DiscreteStatsTable[GroupByKey]=DiscreteStatsTable[[#This Row],[GroupByKey]]),(DiscreteStatsTable[GroupByKey]=DiscreteStatsTable[[#This Row],[GroupByKey]])*DiscreteStatsTable[Minimum]))</f>
        <v>0</v>
      </c>
      <c r="U5" cm="1">
        <f t="array" ref="U5">MAX(IF((DiscreteStatsTable[GroupByKey]=DiscreteStatsTable[[#This Row],[GroupByKey]]),(DiscreteStatsTable[GroupByKey]=DiscreteStatsTable[[#This Row],[GroupByKey]])*DiscreteStatsTable[Maximum]))</f>
        <v>0</v>
      </c>
      <c r="V5" cm="1">
        <f t="array" ref="V5">IFERROR(AVERAGE(IF((DiscreteStatsTable[GroupByKey]=DiscreteStatsTable[[#This Row],[GroupByKey]]),(DiscreteStatsTable[GroupByKey]=DiscreteStatsTable[[#This Row],[GroupByKey]])*DiscreteStatsTable[NumberObservations])),0)</f>
        <v>5994.2</v>
      </c>
      <c r="W5">
        <f>IF((DiscreteStatsTable[[#This Row],[RepsRequested]]&gt;1),DiscreteStatsTable[[#This Row],[HalfWidth]],DiscreteStatsTable[[#This Row],[BatchMeansHalfWidth]])</f>
        <v>0</v>
      </c>
      <c r="X5" cm="1">
        <f t="array" ref="X5">COUNT(IF((DiscreteStatsTable[GroupByKey]=DiscreteStatsTable[[#This Row],[GroupByKey]]),(DiscreteStatsTable[GroupByKey]=DiscreteStatsTable[[#This Row],[GroupByKey]])*DiscreteStatsTable[Replication]))</f>
        <v>5</v>
      </c>
      <c r="Y5">
        <f>IF(DiscreteStatsTable[[#This Row],[RepsRequested]]=DiscreteStatsTable[[#This Row],[RepsWithStatObserved]],1,0)</f>
        <v>1</v>
      </c>
    </row>
    <row r="6" spans="1:25" x14ac:dyDescent="0.3">
      <c r="A6" t="s">
        <v>66</v>
      </c>
      <c r="B6" t="s">
        <v>69</v>
      </c>
      <c r="C6">
        <v>1</v>
      </c>
      <c r="D6" t="s">
        <v>70</v>
      </c>
      <c r="E6" t="s">
        <v>76</v>
      </c>
      <c r="F6" t="s">
        <v>72</v>
      </c>
      <c r="G6">
        <v>1.05282031858137</v>
      </c>
      <c r="H6">
        <v>3E+20</v>
      </c>
      <c r="I6">
        <v>0.34246530681866699</v>
      </c>
      <c r="J6">
        <v>1.78453084959256</v>
      </c>
      <c r="K6">
        <v>5992</v>
      </c>
      <c r="L6" t="str">
        <f>DiscreteStatsTable[[#This Row],[ProjectName]]&amp;DiscreteStatsTable[[#This Row],[Name]]&amp;DiscreteStatsTable[[#This Row],[Type]]&amp;DiscreteStatsTable[[#This Row],[Source]]</f>
        <v>Unnamed ProjectPartVA TimeEntity</v>
      </c>
      <c r="M6" cm="1">
        <f t="array" ref="M6">MAX(IF((ProjectInfoTable[ProjectName]=DiscreteStatsTable[[#This Row],[ProjectName]]),(ProjectInfoTable[ProjectName]=DiscreteStatsTable[[#This Row],[ProjectName]])*ProjectInfoTable[NumberOfReplications]))</f>
        <v>5</v>
      </c>
      <c r="N6" cm="1">
        <f t="array" ref="N6">IFERROR(AVERAGE(IF((DiscreteStatsTable[GroupByKey]=DiscreteStatsTable[[#This Row],[GroupByKey]]),(DiscreteStatsTable[GroupByKey]=DiscreteStatsTable[[#This Row],[GroupByKey]])*DiscreteStatsTable[Average])),0)</f>
        <v>1.0525621799284077</v>
      </c>
      <c r="O6" cm="1">
        <f t="array" ref="O6">IFERROR(_xlfn.STDEV.S(IF((DiscreteStatsTable[GroupByKey]=DiscreteStatsTable[[#This Row],[GroupByKey]]),(DiscreteStatsTable[GroupByKey]=DiscreteStatsTable[[#This Row],[GroupByKey]])*DiscreteStatsTable[Average])),0)</f>
        <v>3.067158552326994E-3</v>
      </c>
      <c r="P6" cm="1">
        <f t="array" ref="P6">MAX(IF((ProjectInfoTable[ProjectName]=DiscreteStatsTable[[#This Row],[ProjectName]]),(ProjectInfoTable[ProjectName]=DiscreteStatsTable[[#This Row],[ProjectName]])*ProjectInfoTable[ConfidenceInterval]))</f>
        <v>0.95</v>
      </c>
      <c r="Q6">
        <f>IF(AND(DiscreteStatsTable[[#This Row],[RepsWithStatObserved]]=1,Y6=0),200000000000000000000,IFERROR(_xlfn.T.INV.2T(1 -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3.8083803512072032E-3</v>
      </c>
      <c r="R6" cm="1">
        <f t="array" ref="R6">MIN(IF((DiscreteStatsTable[GroupByKey]=DiscreteStatsTable[[#This Row],[GroupByKey]]),(DiscreteStatsTable[GroupByKey]=DiscreteStatsTable[[#This Row],[GroupByKey]])*DiscreteStatsTable[Average]))</f>
        <v>1.04817101181257</v>
      </c>
      <c r="S6" cm="1">
        <f t="array" ref="S6">MAX(IF((DiscreteStatsTable[GroupByKey]=DiscreteStatsTable[[#This Row],[GroupByKey]]),(DiscreteStatsTable[GroupByKey]=DiscreteStatsTable[[#This Row],[GroupByKey]])*DiscreteStatsTable[Average]))</f>
        <v>1.05658522318634</v>
      </c>
      <c r="T6" cm="1">
        <f t="array" ref="T6">MIN(IF((DiscreteStatsTable[GroupByKey]=DiscreteStatsTable[[#This Row],[GroupByKey]]),(DiscreteStatsTable[GroupByKey]=DiscreteStatsTable[[#This Row],[GroupByKey]])*DiscreteStatsTable[Minimum]))</f>
        <v>0.22718674792668</v>
      </c>
      <c r="U6" cm="1">
        <f t="array" ref="U6">MAX(IF((DiscreteStatsTable[GroupByKey]=DiscreteStatsTable[[#This Row],[GroupByKey]]),(DiscreteStatsTable[GroupByKey]=DiscreteStatsTable[[#This Row],[GroupByKey]])*DiscreteStatsTable[Maximum]))</f>
        <v>1.8077917986534</v>
      </c>
      <c r="V6" cm="1">
        <f t="array" ref="V6">IFERROR(AVERAGE(IF((DiscreteStatsTable[GroupByKey]=DiscreteStatsTable[[#This Row],[GroupByKey]]),(DiscreteStatsTable[GroupByKey]=DiscreteStatsTable[[#This Row],[GroupByKey]])*DiscreteStatsTable[NumberObservations])),0)</f>
        <v>5994.2</v>
      </c>
      <c r="W6">
        <f>IF((DiscreteStatsTable[[#This Row],[RepsRequested]]&gt;1),DiscreteStatsTable[[#This Row],[HalfWidth]],DiscreteStatsTable[[#This Row],[BatchMeansHalfWidth]])</f>
        <v>3.8083803512072032E-3</v>
      </c>
      <c r="X6" cm="1">
        <f t="array" ref="X6">COUNT(IF((DiscreteStatsTable[GroupByKey]=DiscreteStatsTable[[#This Row],[GroupByKey]]),(DiscreteStatsTable[GroupByKey]=DiscreteStatsTable[[#This Row],[GroupByKey]])*DiscreteStatsTable[Replication]))</f>
        <v>5</v>
      </c>
      <c r="Y6">
        <f>IF(DiscreteStatsTable[[#This Row],[RepsRequested]]=DiscreteStatsTable[[#This Row],[RepsWithStatObserved]],1,0)</f>
        <v>1</v>
      </c>
    </row>
    <row r="7" spans="1:25" x14ac:dyDescent="0.3">
      <c r="A7" t="s">
        <v>66</v>
      </c>
      <c r="B7" t="s">
        <v>69</v>
      </c>
      <c r="C7">
        <v>1</v>
      </c>
      <c r="D7" t="s">
        <v>70</v>
      </c>
      <c r="E7" t="s">
        <v>77</v>
      </c>
      <c r="F7" t="s">
        <v>72</v>
      </c>
      <c r="G7">
        <v>0</v>
      </c>
      <c r="H7">
        <v>0</v>
      </c>
      <c r="I7">
        <v>0</v>
      </c>
      <c r="J7">
        <v>0</v>
      </c>
      <c r="K7">
        <v>5992</v>
      </c>
      <c r="L7" t="str">
        <f>DiscreteStatsTable[[#This Row],[ProjectName]]&amp;DiscreteStatsTable[[#This Row],[Name]]&amp;DiscreteStatsTable[[#This Row],[Type]]&amp;DiscreteStatsTable[[#This Row],[Source]]</f>
        <v>Unnamed ProjectPartWait TimeEntity</v>
      </c>
      <c r="M7" cm="1">
        <f t="array" ref="M7">MAX(IF((ProjectInfoTable[ProjectName]=DiscreteStatsTable[[#This Row],[ProjectName]]),(ProjectInfoTable[ProjectName]=DiscreteStatsTable[[#This Row],[ProjectName]])*ProjectInfoTable[NumberOfReplications]))</f>
        <v>5</v>
      </c>
      <c r="N7" cm="1">
        <f t="array" ref="N7">IFERROR(AVERAGE(IF((DiscreteStatsTable[GroupByKey]=DiscreteStatsTable[[#This Row],[GroupByKey]]),(DiscreteStatsTable[GroupByKey]=DiscreteStatsTable[[#This Row],[GroupByKey]])*DiscreteStatsTable[Average])),0)</f>
        <v>0</v>
      </c>
      <c r="O7" cm="1">
        <f t="array" ref="O7">IFERROR(_xlfn.STDEV.S(IF((DiscreteStatsTable[GroupByKey]=DiscreteStatsTable[[#This Row],[GroupByKey]]),(DiscreteStatsTable[GroupByKey]=DiscreteStatsTable[[#This Row],[GroupByKey]])*DiscreteStatsTable[Average])),0)</f>
        <v>0</v>
      </c>
      <c r="P7" cm="1">
        <f t="array" ref="P7">MAX(IF((ProjectInfoTable[ProjectName]=DiscreteStatsTable[[#This Row],[ProjectName]]),(ProjectInfoTable[ProjectName]=DiscreteStatsTable[[#This Row],[ProjectName]])*ProjectInfoTable[ConfidenceInterval]))</f>
        <v>0.95</v>
      </c>
      <c r="Q7">
        <f>IF(AND(DiscreteStatsTable[[#This Row],[RepsWithStatObserved]]=1,Y7=0),200000000000000000000,IFERROR(_xlfn.T.INV.2T(1 -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" cm="1">
        <f t="array" ref="R7">MIN(IF((DiscreteStatsTable[GroupByKey]=DiscreteStatsTable[[#This Row],[GroupByKey]]),(DiscreteStatsTable[GroupByKey]=DiscreteStatsTable[[#This Row],[GroupByKey]])*DiscreteStatsTable[Average]))</f>
        <v>0</v>
      </c>
      <c r="S7" cm="1">
        <f t="array" ref="S7">MAX(IF((DiscreteStatsTable[GroupByKey]=DiscreteStatsTable[[#This Row],[GroupByKey]]),(DiscreteStatsTable[GroupByKey]=DiscreteStatsTable[[#This Row],[GroupByKey]])*DiscreteStatsTable[Average]))</f>
        <v>0</v>
      </c>
      <c r="T7" cm="1">
        <f t="array" ref="T7">MIN(IF((DiscreteStatsTable[GroupByKey]=DiscreteStatsTable[[#This Row],[GroupByKey]]),(DiscreteStatsTable[GroupByKey]=DiscreteStatsTable[[#This Row],[GroupByKey]])*DiscreteStatsTable[Minimum]))</f>
        <v>0</v>
      </c>
      <c r="U7" cm="1">
        <f t="array" ref="U7">MAX(IF((DiscreteStatsTable[GroupByKey]=DiscreteStatsTable[[#This Row],[GroupByKey]]),(DiscreteStatsTable[GroupByKey]=DiscreteStatsTable[[#This Row],[GroupByKey]])*DiscreteStatsTable[Maximum]))</f>
        <v>0</v>
      </c>
      <c r="V7" cm="1">
        <f t="array" ref="V7">IFERROR(AVERAGE(IF((DiscreteStatsTable[GroupByKey]=DiscreteStatsTable[[#This Row],[GroupByKey]]),(DiscreteStatsTable[GroupByKey]=DiscreteStatsTable[[#This Row],[GroupByKey]])*DiscreteStatsTable[NumberObservations])),0)</f>
        <v>5994.2</v>
      </c>
      <c r="W7">
        <f>IF((DiscreteStatsTable[[#This Row],[RepsRequested]]&gt;1),DiscreteStatsTable[[#This Row],[HalfWidth]],DiscreteStatsTable[[#This Row],[BatchMeansHalfWidth]])</f>
        <v>0</v>
      </c>
      <c r="X7" cm="1">
        <f t="array" ref="X7">COUNT(IF((DiscreteStatsTable[GroupByKey]=DiscreteStatsTable[[#This Row],[GroupByKey]]),(DiscreteStatsTable[GroupByKey]=DiscreteStatsTable[[#This Row],[GroupByKey]])*DiscreteStatsTable[Replication]))</f>
        <v>5</v>
      </c>
      <c r="Y7">
        <f>IF(DiscreteStatsTable[[#This Row],[RepsRequested]]=DiscreteStatsTable[[#This Row],[RepsWithStatObserved]],1,0)</f>
        <v>1</v>
      </c>
    </row>
    <row r="8" spans="1:25" x14ac:dyDescent="0.3">
      <c r="A8" t="s">
        <v>66</v>
      </c>
      <c r="B8" t="s">
        <v>69</v>
      </c>
      <c r="C8">
        <v>2</v>
      </c>
      <c r="D8" t="s">
        <v>70</v>
      </c>
      <c r="E8" t="s">
        <v>71</v>
      </c>
      <c r="F8" t="s">
        <v>72</v>
      </c>
      <c r="G8">
        <v>0</v>
      </c>
      <c r="H8">
        <v>0</v>
      </c>
      <c r="I8">
        <v>0</v>
      </c>
      <c r="J8">
        <v>0</v>
      </c>
      <c r="K8">
        <v>5989</v>
      </c>
      <c r="L8" t="str">
        <f>DiscreteStatsTable[[#This Row],[ProjectName]]&amp;DiscreteStatsTable[[#This Row],[Name]]&amp;DiscreteStatsTable[[#This Row],[Type]]&amp;DiscreteStatsTable[[#This Row],[Source]]</f>
        <v>Unnamed ProjectPartNVA TimeEntity</v>
      </c>
      <c r="M8" cm="1">
        <f t="array" ref="M8">MAX(IF((ProjectInfoTable[ProjectName]=DiscreteStatsTable[[#This Row],[ProjectName]]),(ProjectInfoTable[ProjectName]=DiscreteStatsTable[[#This Row],[ProjectName]])*ProjectInfoTable[NumberOfReplications]))</f>
        <v>5</v>
      </c>
      <c r="N8" cm="1">
        <f t="array" ref="N8">IFERROR(AVERAGE(IF((DiscreteStatsTable[GroupByKey]=DiscreteStatsTable[[#This Row],[GroupByKey]]),(DiscreteStatsTable[GroupByKey]=DiscreteStatsTable[[#This Row],[GroupByKey]])*DiscreteStatsTable[Average])),0)</f>
        <v>0</v>
      </c>
      <c r="O8" cm="1">
        <f t="array" ref="O8">IFERROR(_xlfn.STDEV.S(IF((DiscreteStatsTable[GroupByKey]=DiscreteStatsTable[[#This Row],[GroupByKey]]),(DiscreteStatsTable[GroupByKey]=DiscreteStatsTable[[#This Row],[GroupByKey]])*DiscreteStatsTable[Average])),0)</f>
        <v>0</v>
      </c>
      <c r="P8" cm="1">
        <f t="array" ref="P8">MAX(IF((ProjectInfoTable[ProjectName]=DiscreteStatsTable[[#This Row],[ProjectName]]),(ProjectInfoTable[ProjectName]=DiscreteStatsTable[[#This Row],[ProjectName]])*ProjectInfoTable[ConfidenceInterval]))</f>
        <v>0.95</v>
      </c>
      <c r="Q8">
        <f>IF(AND(DiscreteStatsTable[[#This Row],[RepsWithStatObserved]]=1,Y8=0),200000000000000000000,IFERROR(_xlfn.T.INV.2T(1 -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" cm="1">
        <f t="array" ref="R8">MIN(IF((DiscreteStatsTable[GroupByKey]=DiscreteStatsTable[[#This Row],[GroupByKey]]),(DiscreteStatsTable[GroupByKey]=DiscreteStatsTable[[#This Row],[GroupByKey]])*DiscreteStatsTable[Average]))</f>
        <v>0</v>
      </c>
      <c r="S8" cm="1">
        <f t="array" ref="S8">MAX(IF((DiscreteStatsTable[GroupByKey]=DiscreteStatsTable[[#This Row],[GroupByKey]]),(DiscreteStatsTable[GroupByKey]=DiscreteStatsTable[[#This Row],[GroupByKey]])*DiscreteStatsTable[Average]))</f>
        <v>0</v>
      </c>
      <c r="T8" cm="1">
        <f t="array" ref="T8">MIN(IF((DiscreteStatsTable[GroupByKey]=DiscreteStatsTable[[#This Row],[GroupByKey]]),(DiscreteStatsTable[GroupByKey]=DiscreteStatsTable[[#This Row],[GroupByKey]])*DiscreteStatsTable[Minimum]))</f>
        <v>0</v>
      </c>
      <c r="U8" cm="1">
        <f t="array" ref="U8">MAX(IF((DiscreteStatsTable[GroupByKey]=DiscreteStatsTable[[#This Row],[GroupByKey]]),(DiscreteStatsTable[GroupByKey]=DiscreteStatsTable[[#This Row],[GroupByKey]])*DiscreteStatsTable[Maximum]))</f>
        <v>0</v>
      </c>
      <c r="V8" cm="1">
        <f t="array" ref="V8">IFERROR(AVERAGE(IF((DiscreteStatsTable[GroupByKey]=DiscreteStatsTable[[#This Row],[GroupByKey]]),(DiscreteStatsTable[GroupByKey]=DiscreteStatsTable[[#This Row],[GroupByKey]])*DiscreteStatsTable[NumberObservations])),0)</f>
        <v>5994.2</v>
      </c>
      <c r="W8">
        <f>IF((DiscreteStatsTable[[#This Row],[RepsRequested]]&gt;1),DiscreteStatsTable[[#This Row],[HalfWidth]],DiscreteStatsTable[[#This Row],[BatchMeansHalfWidth]])</f>
        <v>0</v>
      </c>
      <c r="X8" cm="1">
        <f t="array" ref="X8">COUNT(IF((DiscreteStatsTable[GroupByKey]=DiscreteStatsTable[[#This Row],[GroupByKey]]),(DiscreteStatsTable[GroupByKey]=DiscreteStatsTable[[#This Row],[GroupByKey]])*DiscreteStatsTable[Replication]))</f>
        <v>5</v>
      </c>
      <c r="Y8">
        <f>IF(DiscreteStatsTable[[#This Row],[RepsRequested]]=DiscreteStatsTable[[#This Row],[RepsWithStatObserved]],1,0)</f>
        <v>1</v>
      </c>
    </row>
    <row r="9" spans="1:25" x14ac:dyDescent="0.3">
      <c r="A9" t="s">
        <v>66</v>
      </c>
      <c r="B9" t="s">
        <v>69</v>
      </c>
      <c r="C9">
        <v>2</v>
      </c>
      <c r="D9" t="s">
        <v>70</v>
      </c>
      <c r="E9" t="s">
        <v>73</v>
      </c>
      <c r="F9" t="s">
        <v>72</v>
      </c>
      <c r="G9">
        <v>0</v>
      </c>
      <c r="H9">
        <v>0</v>
      </c>
      <c r="I9">
        <v>0</v>
      </c>
      <c r="J9">
        <v>0</v>
      </c>
      <c r="K9">
        <v>5989</v>
      </c>
      <c r="L9" t="str">
        <f>DiscreteStatsTable[[#This Row],[ProjectName]]&amp;DiscreteStatsTable[[#This Row],[Name]]&amp;DiscreteStatsTable[[#This Row],[Type]]&amp;DiscreteStatsTable[[#This Row],[Source]]</f>
        <v>Unnamed ProjectPartOther TimeEntity</v>
      </c>
      <c r="M9" cm="1">
        <f t="array" ref="M9">MAX(IF((ProjectInfoTable[ProjectName]=DiscreteStatsTable[[#This Row],[ProjectName]]),(ProjectInfoTable[ProjectName]=DiscreteStatsTable[[#This Row],[ProjectName]])*ProjectInfoTable[NumberOfReplications]))</f>
        <v>5</v>
      </c>
      <c r="N9" cm="1">
        <f t="array" ref="N9">IFERROR(AVERAGE(IF((DiscreteStatsTable[GroupByKey]=DiscreteStatsTable[[#This Row],[GroupByKey]]),(DiscreteStatsTable[GroupByKey]=DiscreteStatsTable[[#This Row],[GroupByKey]])*DiscreteStatsTable[Average])),0)</f>
        <v>0</v>
      </c>
      <c r="O9" cm="1">
        <f t="array" ref="O9">IFERROR(_xlfn.STDEV.S(IF((DiscreteStatsTable[GroupByKey]=DiscreteStatsTable[[#This Row],[GroupByKey]]),(DiscreteStatsTable[GroupByKey]=DiscreteStatsTable[[#This Row],[GroupByKey]])*DiscreteStatsTable[Average])),0)</f>
        <v>0</v>
      </c>
      <c r="P9" cm="1">
        <f t="array" ref="P9">MAX(IF((ProjectInfoTable[ProjectName]=DiscreteStatsTable[[#This Row],[ProjectName]]),(ProjectInfoTable[ProjectName]=DiscreteStatsTable[[#This Row],[ProjectName]])*ProjectInfoTable[ConfidenceInterval]))</f>
        <v>0.95</v>
      </c>
      <c r="Q9">
        <f>IF(AND(DiscreteStatsTable[[#This Row],[RepsWithStatObserved]]=1,Y9=0),200000000000000000000,IFERROR(_xlfn.T.INV.2T(1 -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" cm="1">
        <f t="array" ref="R9">MIN(IF((DiscreteStatsTable[GroupByKey]=DiscreteStatsTable[[#This Row],[GroupByKey]]),(DiscreteStatsTable[GroupByKey]=DiscreteStatsTable[[#This Row],[GroupByKey]])*DiscreteStatsTable[Average]))</f>
        <v>0</v>
      </c>
      <c r="S9" cm="1">
        <f t="array" ref="S9">MAX(IF((DiscreteStatsTable[GroupByKey]=DiscreteStatsTable[[#This Row],[GroupByKey]]),(DiscreteStatsTable[GroupByKey]=DiscreteStatsTable[[#This Row],[GroupByKey]])*DiscreteStatsTable[Average]))</f>
        <v>0</v>
      </c>
      <c r="T9" cm="1">
        <f t="array" ref="T9">MIN(IF((DiscreteStatsTable[GroupByKey]=DiscreteStatsTable[[#This Row],[GroupByKey]]),(DiscreteStatsTable[GroupByKey]=DiscreteStatsTable[[#This Row],[GroupByKey]])*DiscreteStatsTable[Minimum]))</f>
        <v>0</v>
      </c>
      <c r="U9" cm="1">
        <f t="array" ref="U9">MAX(IF((DiscreteStatsTable[GroupByKey]=DiscreteStatsTable[[#This Row],[GroupByKey]]),(DiscreteStatsTable[GroupByKey]=DiscreteStatsTable[[#This Row],[GroupByKey]])*DiscreteStatsTable[Maximum]))</f>
        <v>0</v>
      </c>
      <c r="V9" cm="1">
        <f t="array" ref="V9">IFERROR(AVERAGE(IF((DiscreteStatsTable[GroupByKey]=DiscreteStatsTable[[#This Row],[GroupByKey]]),(DiscreteStatsTable[GroupByKey]=DiscreteStatsTable[[#This Row],[GroupByKey]])*DiscreteStatsTable[NumberObservations])),0)</f>
        <v>5994.2</v>
      </c>
      <c r="W9">
        <f>IF((DiscreteStatsTable[[#This Row],[RepsRequested]]&gt;1),DiscreteStatsTable[[#This Row],[HalfWidth]],DiscreteStatsTable[[#This Row],[BatchMeansHalfWidth]])</f>
        <v>0</v>
      </c>
      <c r="X9" cm="1">
        <f t="array" ref="X9">COUNT(IF((DiscreteStatsTable[GroupByKey]=DiscreteStatsTable[[#This Row],[GroupByKey]]),(DiscreteStatsTable[GroupByKey]=DiscreteStatsTable[[#This Row],[GroupByKey]])*DiscreteStatsTable[Replication]))</f>
        <v>5</v>
      </c>
      <c r="Y9">
        <f>IF(DiscreteStatsTable[[#This Row],[RepsRequested]]=DiscreteStatsTable[[#This Row],[RepsWithStatObserved]],1,0)</f>
        <v>1</v>
      </c>
    </row>
    <row r="10" spans="1:25" x14ac:dyDescent="0.3">
      <c r="A10" t="s">
        <v>66</v>
      </c>
      <c r="B10" t="s">
        <v>69</v>
      </c>
      <c r="C10">
        <v>2</v>
      </c>
      <c r="D10" t="s">
        <v>70</v>
      </c>
      <c r="E10" t="s">
        <v>74</v>
      </c>
      <c r="F10" t="s">
        <v>72</v>
      </c>
      <c r="G10">
        <v>1.05363940779279</v>
      </c>
      <c r="H10">
        <v>4.8541502323881701E-3</v>
      </c>
      <c r="I10">
        <v>0.26630265227140598</v>
      </c>
      <c r="J10">
        <v>1.8077917986534</v>
      </c>
      <c r="K10">
        <v>5989</v>
      </c>
      <c r="L10" t="str">
        <f>DiscreteStatsTable[[#This Row],[ProjectName]]&amp;DiscreteStatsTable[[#This Row],[Name]]&amp;DiscreteStatsTable[[#This Row],[Type]]&amp;DiscreteStatsTable[[#This Row],[Source]]</f>
        <v>Unnamed ProjectPartTotal TimeEntity</v>
      </c>
      <c r="M10" cm="1">
        <f t="array" ref="M10">MAX(IF((ProjectInfoTable[ProjectName]=DiscreteStatsTable[[#This Row],[ProjectName]]),(ProjectInfoTable[ProjectName]=DiscreteStatsTable[[#This Row],[ProjectName]])*ProjectInfoTable[NumberOfReplications]))</f>
        <v>5</v>
      </c>
      <c r="N10" cm="1">
        <f t="array" ref="N10">IFERROR(AVERAGE(IF((DiscreteStatsTable[GroupByKey]=DiscreteStatsTable[[#This Row],[GroupByKey]]),(DiscreteStatsTable[GroupByKey]=DiscreteStatsTable[[#This Row],[GroupByKey]])*DiscreteStatsTable[Average])),0)</f>
        <v>1.0525621799284077</v>
      </c>
      <c r="O10" cm="1">
        <f t="array" ref="O10">IFERROR(_xlfn.STDEV.S(IF((DiscreteStatsTable[GroupByKey]=DiscreteStatsTable[[#This Row],[GroupByKey]]),(DiscreteStatsTable[GroupByKey]=DiscreteStatsTable[[#This Row],[GroupByKey]])*DiscreteStatsTable[Average])),0)</f>
        <v>3.067158552326994E-3</v>
      </c>
      <c r="P10" cm="1">
        <f t="array" ref="P10">MAX(IF((ProjectInfoTable[ProjectName]=DiscreteStatsTable[[#This Row],[ProjectName]]),(ProjectInfoTable[ProjectName]=DiscreteStatsTable[[#This Row],[ProjectName]])*ProjectInfoTable[ConfidenceInterval]))</f>
        <v>0.95</v>
      </c>
      <c r="Q10">
        <f>IF(AND(DiscreteStatsTable[[#This Row],[RepsWithStatObserved]]=1,Y10=0),200000000000000000000,IFERROR(_xlfn.T.INV.2T(1 -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3.8083803512072032E-3</v>
      </c>
      <c r="R10" cm="1">
        <f t="array" ref="R10">MIN(IF((DiscreteStatsTable[GroupByKey]=DiscreteStatsTable[[#This Row],[GroupByKey]]),(DiscreteStatsTable[GroupByKey]=DiscreteStatsTable[[#This Row],[GroupByKey]])*DiscreteStatsTable[Average]))</f>
        <v>1.04817101181257</v>
      </c>
      <c r="S10" cm="1">
        <f t="array" ref="S10">MAX(IF((DiscreteStatsTable[GroupByKey]=DiscreteStatsTable[[#This Row],[GroupByKey]]),(DiscreteStatsTable[GroupByKey]=DiscreteStatsTable[[#This Row],[GroupByKey]])*DiscreteStatsTable[Average]))</f>
        <v>1.05658522318634</v>
      </c>
      <c r="T10" cm="1">
        <f t="array" ref="T10">MIN(IF((DiscreteStatsTable[GroupByKey]=DiscreteStatsTable[[#This Row],[GroupByKey]]),(DiscreteStatsTable[GroupByKey]=DiscreteStatsTable[[#This Row],[GroupByKey]])*DiscreteStatsTable[Minimum]))</f>
        <v>0.22718674792668</v>
      </c>
      <c r="U10" cm="1">
        <f t="array" ref="U10">MAX(IF((DiscreteStatsTable[GroupByKey]=DiscreteStatsTable[[#This Row],[GroupByKey]]),(DiscreteStatsTable[GroupByKey]=DiscreteStatsTable[[#This Row],[GroupByKey]])*DiscreteStatsTable[Maximum]))</f>
        <v>1.8077917986534</v>
      </c>
      <c r="V10" cm="1">
        <f t="array" ref="V10">IFERROR(AVERAGE(IF((DiscreteStatsTable[GroupByKey]=DiscreteStatsTable[[#This Row],[GroupByKey]]),(DiscreteStatsTable[GroupByKey]=DiscreteStatsTable[[#This Row],[GroupByKey]])*DiscreteStatsTable[NumberObservations])),0)</f>
        <v>5994.2</v>
      </c>
      <c r="W10">
        <f>IF((DiscreteStatsTable[[#This Row],[RepsRequested]]&gt;1),DiscreteStatsTable[[#This Row],[HalfWidth]],DiscreteStatsTable[[#This Row],[BatchMeansHalfWidth]])</f>
        <v>3.8083803512072032E-3</v>
      </c>
      <c r="X10" cm="1">
        <f t="array" ref="X10">COUNT(IF((DiscreteStatsTable[GroupByKey]=DiscreteStatsTable[[#This Row],[GroupByKey]]),(DiscreteStatsTable[GroupByKey]=DiscreteStatsTable[[#This Row],[GroupByKey]])*DiscreteStatsTable[Replication]))</f>
        <v>5</v>
      </c>
      <c r="Y10">
        <f>IF(DiscreteStatsTable[[#This Row],[RepsRequested]]=DiscreteStatsTable[[#This Row],[RepsWithStatObserved]],1,0)</f>
        <v>1</v>
      </c>
    </row>
    <row r="11" spans="1:25" x14ac:dyDescent="0.3">
      <c r="A11" t="s">
        <v>66</v>
      </c>
      <c r="B11" t="s">
        <v>69</v>
      </c>
      <c r="C11">
        <v>2</v>
      </c>
      <c r="D11" t="s">
        <v>70</v>
      </c>
      <c r="E11" t="s">
        <v>75</v>
      </c>
      <c r="F11" t="s">
        <v>72</v>
      </c>
      <c r="G11">
        <v>0</v>
      </c>
      <c r="H11">
        <v>0</v>
      </c>
      <c r="I11">
        <v>0</v>
      </c>
      <c r="J11">
        <v>0</v>
      </c>
      <c r="K11">
        <v>5989</v>
      </c>
      <c r="L11" t="str">
        <f>DiscreteStatsTable[[#This Row],[ProjectName]]&amp;DiscreteStatsTable[[#This Row],[Name]]&amp;DiscreteStatsTable[[#This Row],[Type]]&amp;DiscreteStatsTable[[#This Row],[Source]]</f>
        <v>Unnamed ProjectPartTransfer TimeEntity</v>
      </c>
      <c r="M11" cm="1">
        <f t="array" ref="M11">MAX(IF((ProjectInfoTable[ProjectName]=DiscreteStatsTable[[#This Row],[ProjectName]]),(ProjectInfoTable[ProjectName]=DiscreteStatsTable[[#This Row],[ProjectName]])*ProjectInfoTable[NumberOfReplications]))</f>
        <v>5</v>
      </c>
      <c r="N11" cm="1">
        <f t="array" ref="N11">IFERROR(AVERAGE(IF((DiscreteStatsTable[GroupByKey]=DiscreteStatsTable[[#This Row],[GroupByKey]]),(DiscreteStatsTable[GroupByKey]=DiscreteStatsTable[[#This Row],[GroupByKey]])*DiscreteStatsTable[Average])),0)</f>
        <v>0</v>
      </c>
      <c r="O11" cm="1">
        <f t="array" ref="O11">IFERROR(_xlfn.STDEV.S(IF((DiscreteStatsTable[GroupByKey]=DiscreteStatsTable[[#This Row],[GroupByKey]]),(DiscreteStatsTable[GroupByKey]=DiscreteStatsTable[[#This Row],[GroupByKey]])*DiscreteStatsTable[Average])),0)</f>
        <v>0</v>
      </c>
      <c r="P11" cm="1">
        <f t="array" ref="P11">MAX(IF((ProjectInfoTable[ProjectName]=DiscreteStatsTable[[#This Row],[ProjectName]]),(ProjectInfoTable[ProjectName]=DiscreteStatsTable[[#This Row],[ProjectName]])*ProjectInfoTable[ConfidenceInterval]))</f>
        <v>0.95</v>
      </c>
      <c r="Q11">
        <f>IF(AND(DiscreteStatsTable[[#This Row],[RepsWithStatObserved]]=1,Y11=0),200000000000000000000,IFERROR(_xlfn.T.INV.2T(1 -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" cm="1">
        <f t="array" ref="R11">MIN(IF((DiscreteStatsTable[GroupByKey]=DiscreteStatsTable[[#This Row],[GroupByKey]]),(DiscreteStatsTable[GroupByKey]=DiscreteStatsTable[[#This Row],[GroupByKey]])*DiscreteStatsTable[Average]))</f>
        <v>0</v>
      </c>
      <c r="S11" cm="1">
        <f t="array" ref="S11">MAX(IF((DiscreteStatsTable[GroupByKey]=DiscreteStatsTable[[#This Row],[GroupByKey]]),(DiscreteStatsTable[GroupByKey]=DiscreteStatsTable[[#This Row],[GroupByKey]])*DiscreteStatsTable[Average]))</f>
        <v>0</v>
      </c>
      <c r="T11" cm="1">
        <f t="array" ref="T11">MIN(IF((DiscreteStatsTable[GroupByKey]=DiscreteStatsTable[[#This Row],[GroupByKey]]),(DiscreteStatsTable[GroupByKey]=DiscreteStatsTable[[#This Row],[GroupByKey]])*DiscreteStatsTable[Minimum]))</f>
        <v>0</v>
      </c>
      <c r="U11" cm="1">
        <f t="array" ref="U11">MAX(IF((DiscreteStatsTable[GroupByKey]=DiscreteStatsTable[[#This Row],[GroupByKey]]),(DiscreteStatsTable[GroupByKey]=DiscreteStatsTable[[#This Row],[GroupByKey]])*DiscreteStatsTable[Maximum]))</f>
        <v>0</v>
      </c>
      <c r="V11" cm="1">
        <f t="array" ref="V11">IFERROR(AVERAGE(IF((DiscreteStatsTable[GroupByKey]=DiscreteStatsTable[[#This Row],[GroupByKey]]),(DiscreteStatsTable[GroupByKey]=DiscreteStatsTable[[#This Row],[GroupByKey]])*DiscreteStatsTable[NumberObservations])),0)</f>
        <v>5994.2</v>
      </c>
      <c r="W11">
        <f>IF((DiscreteStatsTable[[#This Row],[RepsRequested]]&gt;1),DiscreteStatsTable[[#This Row],[HalfWidth]],DiscreteStatsTable[[#This Row],[BatchMeansHalfWidth]])</f>
        <v>0</v>
      </c>
      <c r="X11" cm="1">
        <f t="array" ref="X11">COUNT(IF((DiscreteStatsTable[GroupByKey]=DiscreteStatsTable[[#This Row],[GroupByKey]]),(DiscreteStatsTable[GroupByKey]=DiscreteStatsTable[[#This Row],[GroupByKey]])*DiscreteStatsTable[Replication]))</f>
        <v>5</v>
      </c>
      <c r="Y11">
        <f>IF(DiscreteStatsTable[[#This Row],[RepsRequested]]=DiscreteStatsTable[[#This Row],[RepsWithStatObserved]],1,0)</f>
        <v>1</v>
      </c>
    </row>
    <row r="12" spans="1:25" x14ac:dyDescent="0.3">
      <c r="A12" t="s">
        <v>66</v>
      </c>
      <c r="B12" t="s">
        <v>69</v>
      </c>
      <c r="C12">
        <v>2</v>
      </c>
      <c r="D12" t="s">
        <v>70</v>
      </c>
      <c r="E12" t="s">
        <v>76</v>
      </c>
      <c r="F12" t="s">
        <v>72</v>
      </c>
      <c r="G12">
        <v>1.05363940779279</v>
      </c>
      <c r="H12">
        <v>4.8541502323881701E-3</v>
      </c>
      <c r="I12">
        <v>0.26630265227140598</v>
      </c>
      <c r="J12">
        <v>1.8077917986534</v>
      </c>
      <c r="K12">
        <v>5989</v>
      </c>
      <c r="L12" t="str">
        <f>DiscreteStatsTable[[#This Row],[ProjectName]]&amp;DiscreteStatsTable[[#This Row],[Name]]&amp;DiscreteStatsTable[[#This Row],[Type]]&amp;DiscreteStatsTable[[#This Row],[Source]]</f>
        <v>Unnamed ProjectPartVA TimeEntity</v>
      </c>
      <c r="M12" cm="1">
        <f t="array" ref="M12">MAX(IF((ProjectInfoTable[ProjectName]=DiscreteStatsTable[[#This Row],[ProjectName]]),(ProjectInfoTable[ProjectName]=DiscreteStatsTable[[#This Row],[ProjectName]])*ProjectInfoTable[NumberOfReplications]))</f>
        <v>5</v>
      </c>
      <c r="N12" cm="1">
        <f t="array" ref="N12">IFERROR(AVERAGE(IF((DiscreteStatsTable[GroupByKey]=DiscreteStatsTable[[#This Row],[GroupByKey]]),(DiscreteStatsTable[GroupByKey]=DiscreteStatsTable[[#This Row],[GroupByKey]])*DiscreteStatsTable[Average])),0)</f>
        <v>1.0525621799284077</v>
      </c>
      <c r="O12" cm="1">
        <f t="array" ref="O12">IFERROR(_xlfn.STDEV.S(IF((DiscreteStatsTable[GroupByKey]=DiscreteStatsTable[[#This Row],[GroupByKey]]),(DiscreteStatsTable[GroupByKey]=DiscreteStatsTable[[#This Row],[GroupByKey]])*DiscreteStatsTable[Average])),0)</f>
        <v>3.067158552326994E-3</v>
      </c>
      <c r="P12" cm="1">
        <f t="array" ref="P12">MAX(IF((ProjectInfoTable[ProjectName]=DiscreteStatsTable[[#This Row],[ProjectName]]),(ProjectInfoTable[ProjectName]=DiscreteStatsTable[[#This Row],[ProjectName]])*ProjectInfoTable[ConfidenceInterval]))</f>
        <v>0.95</v>
      </c>
      <c r="Q12">
        <f>IF(AND(DiscreteStatsTable[[#This Row],[RepsWithStatObserved]]=1,Y12=0),200000000000000000000,IFERROR(_xlfn.T.INV.2T(1 -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3.8083803512072032E-3</v>
      </c>
      <c r="R12" cm="1">
        <f t="array" ref="R12">MIN(IF((DiscreteStatsTable[GroupByKey]=DiscreteStatsTable[[#This Row],[GroupByKey]]),(DiscreteStatsTable[GroupByKey]=DiscreteStatsTable[[#This Row],[GroupByKey]])*DiscreteStatsTable[Average]))</f>
        <v>1.04817101181257</v>
      </c>
      <c r="S12" cm="1">
        <f t="array" ref="S12">MAX(IF((DiscreteStatsTable[GroupByKey]=DiscreteStatsTable[[#This Row],[GroupByKey]]),(DiscreteStatsTable[GroupByKey]=DiscreteStatsTable[[#This Row],[GroupByKey]])*DiscreteStatsTable[Average]))</f>
        <v>1.05658522318634</v>
      </c>
      <c r="T12" cm="1">
        <f t="array" ref="T12">MIN(IF((DiscreteStatsTable[GroupByKey]=DiscreteStatsTable[[#This Row],[GroupByKey]]),(DiscreteStatsTable[GroupByKey]=DiscreteStatsTable[[#This Row],[GroupByKey]])*DiscreteStatsTable[Minimum]))</f>
        <v>0.22718674792668</v>
      </c>
      <c r="U12" cm="1">
        <f t="array" ref="U12">MAX(IF((DiscreteStatsTable[GroupByKey]=DiscreteStatsTable[[#This Row],[GroupByKey]]),(DiscreteStatsTable[GroupByKey]=DiscreteStatsTable[[#This Row],[GroupByKey]])*DiscreteStatsTable[Maximum]))</f>
        <v>1.8077917986534</v>
      </c>
      <c r="V12" cm="1">
        <f t="array" ref="V12">IFERROR(AVERAGE(IF((DiscreteStatsTable[GroupByKey]=DiscreteStatsTable[[#This Row],[GroupByKey]]),(DiscreteStatsTable[GroupByKey]=DiscreteStatsTable[[#This Row],[GroupByKey]])*DiscreteStatsTable[NumberObservations])),0)</f>
        <v>5994.2</v>
      </c>
      <c r="W12">
        <f>IF((DiscreteStatsTable[[#This Row],[RepsRequested]]&gt;1),DiscreteStatsTable[[#This Row],[HalfWidth]],DiscreteStatsTable[[#This Row],[BatchMeansHalfWidth]])</f>
        <v>3.8083803512072032E-3</v>
      </c>
      <c r="X12" cm="1">
        <f t="array" ref="X12">COUNT(IF((DiscreteStatsTable[GroupByKey]=DiscreteStatsTable[[#This Row],[GroupByKey]]),(DiscreteStatsTable[GroupByKey]=DiscreteStatsTable[[#This Row],[GroupByKey]])*DiscreteStatsTable[Replication]))</f>
        <v>5</v>
      </c>
      <c r="Y12">
        <f>IF(DiscreteStatsTable[[#This Row],[RepsRequested]]=DiscreteStatsTable[[#This Row],[RepsWithStatObserved]],1,0)</f>
        <v>1</v>
      </c>
    </row>
    <row r="13" spans="1:25" x14ac:dyDescent="0.3">
      <c r="A13" t="s">
        <v>66</v>
      </c>
      <c r="B13" t="s">
        <v>69</v>
      </c>
      <c r="C13">
        <v>2</v>
      </c>
      <c r="D13" t="s">
        <v>70</v>
      </c>
      <c r="E13" t="s">
        <v>77</v>
      </c>
      <c r="F13" t="s">
        <v>72</v>
      </c>
      <c r="G13">
        <v>0</v>
      </c>
      <c r="H13">
        <v>0</v>
      </c>
      <c r="I13">
        <v>0</v>
      </c>
      <c r="J13">
        <v>0</v>
      </c>
      <c r="K13">
        <v>5989</v>
      </c>
      <c r="L13" t="str">
        <f>DiscreteStatsTable[[#This Row],[ProjectName]]&amp;DiscreteStatsTable[[#This Row],[Name]]&amp;DiscreteStatsTable[[#This Row],[Type]]&amp;DiscreteStatsTable[[#This Row],[Source]]</f>
        <v>Unnamed ProjectPartWait TimeEntity</v>
      </c>
      <c r="M13" cm="1">
        <f t="array" ref="M13">MAX(IF((ProjectInfoTable[ProjectName]=DiscreteStatsTable[[#This Row],[ProjectName]]),(ProjectInfoTable[ProjectName]=DiscreteStatsTable[[#This Row],[ProjectName]])*ProjectInfoTable[NumberOfReplications]))</f>
        <v>5</v>
      </c>
      <c r="N13" cm="1">
        <f t="array" ref="N13">IFERROR(AVERAGE(IF((DiscreteStatsTable[GroupByKey]=DiscreteStatsTable[[#This Row],[GroupByKey]]),(DiscreteStatsTable[GroupByKey]=DiscreteStatsTable[[#This Row],[GroupByKey]])*DiscreteStatsTable[Average])),0)</f>
        <v>0</v>
      </c>
      <c r="O13" cm="1">
        <f t="array" ref="O13">IFERROR(_xlfn.STDEV.S(IF((DiscreteStatsTable[GroupByKey]=DiscreteStatsTable[[#This Row],[GroupByKey]]),(DiscreteStatsTable[GroupByKey]=DiscreteStatsTable[[#This Row],[GroupByKey]])*DiscreteStatsTable[Average])),0)</f>
        <v>0</v>
      </c>
      <c r="P13" cm="1">
        <f t="array" ref="P13">MAX(IF((ProjectInfoTable[ProjectName]=DiscreteStatsTable[[#This Row],[ProjectName]]),(ProjectInfoTable[ProjectName]=DiscreteStatsTable[[#This Row],[ProjectName]])*ProjectInfoTable[ConfidenceInterval]))</f>
        <v>0.95</v>
      </c>
      <c r="Q13">
        <f>IF(AND(DiscreteStatsTable[[#This Row],[RepsWithStatObserved]]=1,Y13=0),200000000000000000000,IFERROR(_xlfn.T.INV.2T(1 -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" cm="1">
        <f t="array" ref="R13">MIN(IF((DiscreteStatsTable[GroupByKey]=DiscreteStatsTable[[#This Row],[GroupByKey]]),(DiscreteStatsTable[GroupByKey]=DiscreteStatsTable[[#This Row],[GroupByKey]])*DiscreteStatsTable[Average]))</f>
        <v>0</v>
      </c>
      <c r="S13" cm="1">
        <f t="array" ref="S13">MAX(IF((DiscreteStatsTable[GroupByKey]=DiscreteStatsTable[[#This Row],[GroupByKey]]),(DiscreteStatsTable[GroupByKey]=DiscreteStatsTable[[#This Row],[GroupByKey]])*DiscreteStatsTable[Average]))</f>
        <v>0</v>
      </c>
      <c r="T13" cm="1">
        <f t="array" ref="T13">MIN(IF((DiscreteStatsTable[GroupByKey]=DiscreteStatsTable[[#This Row],[GroupByKey]]),(DiscreteStatsTable[GroupByKey]=DiscreteStatsTable[[#This Row],[GroupByKey]])*DiscreteStatsTable[Minimum]))</f>
        <v>0</v>
      </c>
      <c r="U13" cm="1">
        <f t="array" ref="U13">MAX(IF((DiscreteStatsTable[GroupByKey]=DiscreteStatsTable[[#This Row],[GroupByKey]]),(DiscreteStatsTable[GroupByKey]=DiscreteStatsTable[[#This Row],[GroupByKey]])*DiscreteStatsTable[Maximum]))</f>
        <v>0</v>
      </c>
      <c r="V13" cm="1">
        <f t="array" ref="V13">IFERROR(AVERAGE(IF((DiscreteStatsTable[GroupByKey]=DiscreteStatsTable[[#This Row],[GroupByKey]]),(DiscreteStatsTable[GroupByKey]=DiscreteStatsTable[[#This Row],[GroupByKey]])*DiscreteStatsTable[NumberObservations])),0)</f>
        <v>5994.2</v>
      </c>
      <c r="W13">
        <f>IF((DiscreteStatsTable[[#This Row],[RepsRequested]]&gt;1),DiscreteStatsTable[[#This Row],[HalfWidth]],DiscreteStatsTable[[#This Row],[BatchMeansHalfWidth]])</f>
        <v>0</v>
      </c>
      <c r="X13" cm="1">
        <f t="array" ref="X13">COUNT(IF((DiscreteStatsTable[GroupByKey]=DiscreteStatsTable[[#This Row],[GroupByKey]]),(DiscreteStatsTable[GroupByKey]=DiscreteStatsTable[[#This Row],[GroupByKey]])*DiscreteStatsTable[Replication]))</f>
        <v>5</v>
      </c>
      <c r="Y13">
        <f>IF(DiscreteStatsTable[[#This Row],[RepsRequested]]=DiscreteStatsTable[[#This Row],[RepsWithStatObserved]],1,0)</f>
        <v>1</v>
      </c>
    </row>
    <row r="14" spans="1:25" x14ac:dyDescent="0.3">
      <c r="A14" t="s">
        <v>66</v>
      </c>
      <c r="B14" t="s">
        <v>69</v>
      </c>
      <c r="C14">
        <v>3</v>
      </c>
      <c r="D14" t="s">
        <v>70</v>
      </c>
      <c r="E14" t="s">
        <v>71</v>
      </c>
      <c r="F14" t="s">
        <v>72</v>
      </c>
      <c r="G14">
        <v>0</v>
      </c>
      <c r="H14">
        <v>0</v>
      </c>
      <c r="I14">
        <v>0</v>
      </c>
      <c r="J14">
        <v>0</v>
      </c>
      <c r="K14">
        <v>6014</v>
      </c>
      <c r="L14" t="str">
        <f>DiscreteStatsTable[[#This Row],[ProjectName]]&amp;DiscreteStatsTable[[#This Row],[Name]]&amp;DiscreteStatsTable[[#This Row],[Type]]&amp;DiscreteStatsTable[[#This Row],[Source]]</f>
        <v>Unnamed ProjectPartNVA TimeEntity</v>
      </c>
      <c r="M14" cm="1">
        <f t="array" ref="M14">MAX(IF((ProjectInfoTable[ProjectName]=DiscreteStatsTable[[#This Row],[ProjectName]]),(ProjectInfoTable[ProjectName]=DiscreteStatsTable[[#This Row],[ProjectName]])*ProjectInfoTable[NumberOfReplications]))</f>
        <v>5</v>
      </c>
      <c r="N14" cm="1">
        <f t="array" ref="N14">IFERROR(AVERAGE(IF((DiscreteStatsTable[GroupByKey]=DiscreteStatsTable[[#This Row],[GroupByKey]]),(DiscreteStatsTable[GroupByKey]=DiscreteStatsTable[[#This Row],[GroupByKey]])*DiscreteStatsTable[Average])),0)</f>
        <v>0</v>
      </c>
      <c r="O14" cm="1">
        <f t="array" ref="O14">IFERROR(_xlfn.STDEV.S(IF((DiscreteStatsTable[GroupByKey]=DiscreteStatsTable[[#This Row],[GroupByKey]]),(DiscreteStatsTable[GroupByKey]=DiscreteStatsTable[[#This Row],[GroupByKey]])*DiscreteStatsTable[Average])),0)</f>
        <v>0</v>
      </c>
      <c r="P14" cm="1">
        <f t="array" ref="P14">MAX(IF((ProjectInfoTable[ProjectName]=DiscreteStatsTable[[#This Row],[ProjectName]]),(ProjectInfoTable[ProjectName]=DiscreteStatsTable[[#This Row],[ProjectName]])*ProjectInfoTable[ConfidenceInterval]))</f>
        <v>0.95</v>
      </c>
      <c r="Q14">
        <f>IF(AND(DiscreteStatsTable[[#This Row],[RepsWithStatObserved]]=1,Y14=0),200000000000000000000,IFERROR(_xlfn.T.INV.2T(1 -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" cm="1">
        <f t="array" ref="R14">MIN(IF((DiscreteStatsTable[GroupByKey]=DiscreteStatsTable[[#This Row],[GroupByKey]]),(DiscreteStatsTable[GroupByKey]=DiscreteStatsTable[[#This Row],[GroupByKey]])*DiscreteStatsTable[Average]))</f>
        <v>0</v>
      </c>
      <c r="S14" cm="1">
        <f t="array" ref="S14">MAX(IF((DiscreteStatsTable[GroupByKey]=DiscreteStatsTable[[#This Row],[GroupByKey]]),(DiscreteStatsTable[GroupByKey]=DiscreteStatsTable[[#This Row],[GroupByKey]])*DiscreteStatsTable[Average]))</f>
        <v>0</v>
      </c>
      <c r="T14" cm="1">
        <f t="array" ref="T14">MIN(IF((DiscreteStatsTable[GroupByKey]=DiscreteStatsTable[[#This Row],[GroupByKey]]),(DiscreteStatsTable[GroupByKey]=DiscreteStatsTable[[#This Row],[GroupByKey]])*DiscreteStatsTable[Minimum]))</f>
        <v>0</v>
      </c>
      <c r="U14" cm="1">
        <f t="array" ref="U14">MAX(IF((DiscreteStatsTable[GroupByKey]=DiscreteStatsTable[[#This Row],[GroupByKey]]),(DiscreteStatsTable[GroupByKey]=DiscreteStatsTable[[#This Row],[GroupByKey]])*DiscreteStatsTable[Maximum]))</f>
        <v>0</v>
      </c>
      <c r="V14" cm="1">
        <f t="array" ref="V14">IFERROR(AVERAGE(IF((DiscreteStatsTable[GroupByKey]=DiscreteStatsTable[[#This Row],[GroupByKey]]),(DiscreteStatsTable[GroupByKey]=DiscreteStatsTable[[#This Row],[GroupByKey]])*DiscreteStatsTable[NumberObservations])),0)</f>
        <v>5994.2</v>
      </c>
      <c r="W14">
        <f>IF((DiscreteStatsTable[[#This Row],[RepsRequested]]&gt;1),DiscreteStatsTable[[#This Row],[HalfWidth]],DiscreteStatsTable[[#This Row],[BatchMeansHalfWidth]])</f>
        <v>0</v>
      </c>
      <c r="X14" cm="1">
        <f t="array" ref="X14">COUNT(IF((DiscreteStatsTable[GroupByKey]=DiscreteStatsTable[[#This Row],[GroupByKey]]),(DiscreteStatsTable[GroupByKey]=DiscreteStatsTable[[#This Row],[GroupByKey]])*DiscreteStatsTable[Replication]))</f>
        <v>5</v>
      </c>
      <c r="Y14">
        <f>IF(DiscreteStatsTable[[#This Row],[RepsRequested]]=DiscreteStatsTable[[#This Row],[RepsWithStatObserved]],1,0)</f>
        <v>1</v>
      </c>
    </row>
    <row r="15" spans="1:25" x14ac:dyDescent="0.3">
      <c r="A15" t="s">
        <v>66</v>
      </c>
      <c r="B15" t="s">
        <v>69</v>
      </c>
      <c r="C15">
        <v>3</v>
      </c>
      <c r="D15" t="s">
        <v>70</v>
      </c>
      <c r="E15" t="s">
        <v>73</v>
      </c>
      <c r="F15" t="s">
        <v>72</v>
      </c>
      <c r="G15">
        <v>0</v>
      </c>
      <c r="H15">
        <v>0</v>
      </c>
      <c r="I15">
        <v>0</v>
      </c>
      <c r="J15">
        <v>0</v>
      </c>
      <c r="K15">
        <v>6014</v>
      </c>
      <c r="L15" t="str">
        <f>DiscreteStatsTable[[#This Row],[ProjectName]]&amp;DiscreteStatsTable[[#This Row],[Name]]&amp;DiscreteStatsTable[[#This Row],[Type]]&amp;DiscreteStatsTable[[#This Row],[Source]]</f>
        <v>Unnamed ProjectPartOther TimeEntity</v>
      </c>
      <c r="M15" cm="1">
        <f t="array" ref="M15">MAX(IF((ProjectInfoTable[ProjectName]=DiscreteStatsTable[[#This Row],[ProjectName]]),(ProjectInfoTable[ProjectName]=DiscreteStatsTable[[#This Row],[ProjectName]])*ProjectInfoTable[NumberOfReplications]))</f>
        <v>5</v>
      </c>
      <c r="N15" cm="1">
        <f t="array" ref="N15">IFERROR(AVERAGE(IF((DiscreteStatsTable[GroupByKey]=DiscreteStatsTable[[#This Row],[GroupByKey]]),(DiscreteStatsTable[GroupByKey]=DiscreteStatsTable[[#This Row],[GroupByKey]])*DiscreteStatsTable[Average])),0)</f>
        <v>0</v>
      </c>
      <c r="O15" cm="1">
        <f t="array" ref="O15">IFERROR(_xlfn.STDEV.S(IF((DiscreteStatsTable[GroupByKey]=DiscreteStatsTable[[#This Row],[GroupByKey]]),(DiscreteStatsTable[GroupByKey]=DiscreteStatsTable[[#This Row],[GroupByKey]])*DiscreteStatsTable[Average])),0)</f>
        <v>0</v>
      </c>
      <c r="P15" cm="1">
        <f t="array" ref="P15">MAX(IF((ProjectInfoTable[ProjectName]=DiscreteStatsTable[[#This Row],[ProjectName]]),(ProjectInfoTable[ProjectName]=DiscreteStatsTable[[#This Row],[ProjectName]])*ProjectInfoTable[ConfidenceInterval]))</f>
        <v>0.95</v>
      </c>
      <c r="Q15">
        <f>IF(AND(DiscreteStatsTable[[#This Row],[RepsWithStatObserved]]=1,Y15=0),200000000000000000000,IFERROR(_xlfn.T.INV.2T(1 -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" cm="1">
        <f t="array" ref="R15">MIN(IF((DiscreteStatsTable[GroupByKey]=DiscreteStatsTable[[#This Row],[GroupByKey]]),(DiscreteStatsTable[GroupByKey]=DiscreteStatsTable[[#This Row],[GroupByKey]])*DiscreteStatsTable[Average]))</f>
        <v>0</v>
      </c>
      <c r="S15" cm="1">
        <f t="array" ref="S15">MAX(IF((DiscreteStatsTable[GroupByKey]=DiscreteStatsTable[[#This Row],[GroupByKey]]),(DiscreteStatsTable[GroupByKey]=DiscreteStatsTable[[#This Row],[GroupByKey]])*DiscreteStatsTable[Average]))</f>
        <v>0</v>
      </c>
      <c r="T15" cm="1">
        <f t="array" ref="T15">MIN(IF((DiscreteStatsTable[GroupByKey]=DiscreteStatsTable[[#This Row],[GroupByKey]]),(DiscreteStatsTable[GroupByKey]=DiscreteStatsTable[[#This Row],[GroupByKey]])*DiscreteStatsTable[Minimum]))</f>
        <v>0</v>
      </c>
      <c r="U15" cm="1">
        <f t="array" ref="U15">MAX(IF((DiscreteStatsTable[GroupByKey]=DiscreteStatsTable[[#This Row],[GroupByKey]]),(DiscreteStatsTable[GroupByKey]=DiscreteStatsTable[[#This Row],[GroupByKey]])*DiscreteStatsTable[Maximum]))</f>
        <v>0</v>
      </c>
      <c r="V15" cm="1">
        <f t="array" ref="V15">IFERROR(AVERAGE(IF((DiscreteStatsTable[GroupByKey]=DiscreteStatsTable[[#This Row],[GroupByKey]]),(DiscreteStatsTable[GroupByKey]=DiscreteStatsTable[[#This Row],[GroupByKey]])*DiscreteStatsTable[NumberObservations])),0)</f>
        <v>5994.2</v>
      </c>
      <c r="W15">
        <f>IF((DiscreteStatsTable[[#This Row],[RepsRequested]]&gt;1),DiscreteStatsTable[[#This Row],[HalfWidth]],DiscreteStatsTable[[#This Row],[BatchMeansHalfWidth]])</f>
        <v>0</v>
      </c>
      <c r="X15" cm="1">
        <f t="array" ref="X15">COUNT(IF((DiscreteStatsTable[GroupByKey]=DiscreteStatsTable[[#This Row],[GroupByKey]]),(DiscreteStatsTable[GroupByKey]=DiscreteStatsTable[[#This Row],[GroupByKey]])*DiscreteStatsTable[Replication]))</f>
        <v>5</v>
      </c>
      <c r="Y15">
        <f>IF(DiscreteStatsTable[[#This Row],[RepsRequested]]=DiscreteStatsTable[[#This Row],[RepsWithStatObserved]],1,0)</f>
        <v>1</v>
      </c>
    </row>
    <row r="16" spans="1:25" x14ac:dyDescent="0.3">
      <c r="A16" t="s">
        <v>66</v>
      </c>
      <c r="B16" t="s">
        <v>69</v>
      </c>
      <c r="C16">
        <v>3</v>
      </c>
      <c r="D16" t="s">
        <v>70</v>
      </c>
      <c r="E16" t="s">
        <v>74</v>
      </c>
      <c r="F16" t="s">
        <v>72</v>
      </c>
      <c r="G16">
        <v>1.05159493826897</v>
      </c>
      <c r="H16">
        <v>5.0449672781764498E-3</v>
      </c>
      <c r="I16">
        <v>0.36376030087740202</v>
      </c>
      <c r="J16">
        <v>1.7219699602474099</v>
      </c>
      <c r="K16">
        <v>6014</v>
      </c>
      <c r="L16" t="str">
        <f>DiscreteStatsTable[[#This Row],[ProjectName]]&amp;DiscreteStatsTable[[#This Row],[Name]]&amp;DiscreteStatsTable[[#This Row],[Type]]&amp;DiscreteStatsTable[[#This Row],[Source]]</f>
        <v>Unnamed ProjectPartTotal TimeEntity</v>
      </c>
      <c r="M16" cm="1">
        <f t="array" ref="M16">MAX(IF((ProjectInfoTable[ProjectName]=DiscreteStatsTable[[#This Row],[ProjectName]]),(ProjectInfoTable[ProjectName]=DiscreteStatsTable[[#This Row],[ProjectName]])*ProjectInfoTable[NumberOfReplications]))</f>
        <v>5</v>
      </c>
      <c r="N16" cm="1">
        <f t="array" ref="N16">IFERROR(AVERAGE(IF((DiscreteStatsTable[GroupByKey]=DiscreteStatsTable[[#This Row],[GroupByKey]]),(DiscreteStatsTable[GroupByKey]=DiscreteStatsTable[[#This Row],[GroupByKey]])*DiscreteStatsTable[Average])),0)</f>
        <v>1.0525621799284077</v>
      </c>
      <c r="O16" cm="1">
        <f t="array" ref="O16">IFERROR(_xlfn.STDEV.S(IF((DiscreteStatsTable[GroupByKey]=DiscreteStatsTable[[#This Row],[GroupByKey]]),(DiscreteStatsTable[GroupByKey]=DiscreteStatsTable[[#This Row],[GroupByKey]])*DiscreteStatsTable[Average])),0)</f>
        <v>3.067158552326994E-3</v>
      </c>
      <c r="P16" cm="1">
        <f t="array" ref="P16">MAX(IF((ProjectInfoTable[ProjectName]=DiscreteStatsTable[[#This Row],[ProjectName]]),(ProjectInfoTable[ProjectName]=DiscreteStatsTable[[#This Row],[ProjectName]])*ProjectInfoTable[ConfidenceInterval]))</f>
        <v>0.95</v>
      </c>
      <c r="Q16">
        <f>IF(AND(DiscreteStatsTable[[#This Row],[RepsWithStatObserved]]=1,Y16=0),200000000000000000000,IFERROR(_xlfn.T.INV.2T(1 -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3.8083803512072032E-3</v>
      </c>
      <c r="R16" cm="1">
        <f t="array" ref="R16">MIN(IF((DiscreteStatsTable[GroupByKey]=DiscreteStatsTable[[#This Row],[GroupByKey]]),(DiscreteStatsTable[GroupByKey]=DiscreteStatsTable[[#This Row],[GroupByKey]])*DiscreteStatsTable[Average]))</f>
        <v>1.04817101181257</v>
      </c>
      <c r="S16" cm="1">
        <f t="array" ref="S16">MAX(IF((DiscreteStatsTable[GroupByKey]=DiscreteStatsTable[[#This Row],[GroupByKey]]),(DiscreteStatsTable[GroupByKey]=DiscreteStatsTable[[#This Row],[GroupByKey]])*DiscreteStatsTable[Average]))</f>
        <v>1.05658522318634</v>
      </c>
      <c r="T16" cm="1">
        <f t="array" ref="T16">MIN(IF((DiscreteStatsTable[GroupByKey]=DiscreteStatsTable[[#This Row],[GroupByKey]]),(DiscreteStatsTable[GroupByKey]=DiscreteStatsTable[[#This Row],[GroupByKey]])*DiscreteStatsTable[Minimum]))</f>
        <v>0.22718674792668</v>
      </c>
      <c r="U16" cm="1">
        <f t="array" ref="U16">MAX(IF((DiscreteStatsTable[GroupByKey]=DiscreteStatsTable[[#This Row],[GroupByKey]]),(DiscreteStatsTable[GroupByKey]=DiscreteStatsTable[[#This Row],[GroupByKey]])*DiscreteStatsTable[Maximum]))</f>
        <v>1.8077917986534</v>
      </c>
      <c r="V16" cm="1">
        <f t="array" ref="V16">IFERROR(AVERAGE(IF((DiscreteStatsTable[GroupByKey]=DiscreteStatsTable[[#This Row],[GroupByKey]]),(DiscreteStatsTable[GroupByKey]=DiscreteStatsTable[[#This Row],[GroupByKey]])*DiscreteStatsTable[NumberObservations])),0)</f>
        <v>5994.2</v>
      </c>
      <c r="W16">
        <f>IF((DiscreteStatsTable[[#This Row],[RepsRequested]]&gt;1),DiscreteStatsTable[[#This Row],[HalfWidth]],DiscreteStatsTable[[#This Row],[BatchMeansHalfWidth]])</f>
        <v>3.8083803512072032E-3</v>
      </c>
      <c r="X16" cm="1">
        <f t="array" ref="X16">COUNT(IF((DiscreteStatsTable[GroupByKey]=DiscreteStatsTable[[#This Row],[GroupByKey]]),(DiscreteStatsTable[GroupByKey]=DiscreteStatsTable[[#This Row],[GroupByKey]])*DiscreteStatsTable[Replication]))</f>
        <v>5</v>
      </c>
      <c r="Y16">
        <f>IF(DiscreteStatsTable[[#This Row],[RepsRequested]]=DiscreteStatsTable[[#This Row],[RepsWithStatObserved]],1,0)</f>
        <v>1</v>
      </c>
    </row>
    <row r="17" spans="1:25" x14ac:dyDescent="0.3">
      <c r="A17" t="s">
        <v>66</v>
      </c>
      <c r="B17" t="s">
        <v>69</v>
      </c>
      <c r="C17">
        <v>3</v>
      </c>
      <c r="D17" t="s">
        <v>70</v>
      </c>
      <c r="E17" t="s">
        <v>75</v>
      </c>
      <c r="F17" t="s">
        <v>72</v>
      </c>
      <c r="G17">
        <v>0</v>
      </c>
      <c r="H17">
        <v>0</v>
      </c>
      <c r="I17">
        <v>0</v>
      </c>
      <c r="J17">
        <v>0</v>
      </c>
      <c r="K17">
        <v>6014</v>
      </c>
      <c r="L17" t="str">
        <f>DiscreteStatsTable[[#This Row],[ProjectName]]&amp;DiscreteStatsTable[[#This Row],[Name]]&amp;DiscreteStatsTable[[#This Row],[Type]]&amp;DiscreteStatsTable[[#This Row],[Source]]</f>
        <v>Unnamed ProjectPartTransfer TimeEntity</v>
      </c>
      <c r="M17" cm="1">
        <f t="array" ref="M17">MAX(IF((ProjectInfoTable[ProjectName]=DiscreteStatsTable[[#This Row],[ProjectName]]),(ProjectInfoTable[ProjectName]=DiscreteStatsTable[[#This Row],[ProjectName]])*ProjectInfoTable[NumberOfReplications]))</f>
        <v>5</v>
      </c>
      <c r="N17" cm="1">
        <f t="array" ref="N17">IFERROR(AVERAGE(IF((DiscreteStatsTable[GroupByKey]=DiscreteStatsTable[[#This Row],[GroupByKey]]),(DiscreteStatsTable[GroupByKey]=DiscreteStatsTable[[#This Row],[GroupByKey]])*DiscreteStatsTable[Average])),0)</f>
        <v>0</v>
      </c>
      <c r="O17" cm="1">
        <f t="array" ref="O17">IFERROR(_xlfn.STDEV.S(IF((DiscreteStatsTable[GroupByKey]=DiscreteStatsTable[[#This Row],[GroupByKey]]),(DiscreteStatsTable[GroupByKey]=DiscreteStatsTable[[#This Row],[GroupByKey]])*DiscreteStatsTable[Average])),0)</f>
        <v>0</v>
      </c>
      <c r="P17" cm="1">
        <f t="array" ref="P17">MAX(IF((ProjectInfoTable[ProjectName]=DiscreteStatsTable[[#This Row],[ProjectName]]),(ProjectInfoTable[ProjectName]=DiscreteStatsTable[[#This Row],[ProjectName]])*ProjectInfoTable[ConfidenceInterval]))</f>
        <v>0.95</v>
      </c>
      <c r="Q17">
        <f>IF(AND(DiscreteStatsTable[[#This Row],[RepsWithStatObserved]]=1,Y17=0),200000000000000000000,IFERROR(_xlfn.T.INV.2T(1 -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" cm="1">
        <f t="array" ref="R17">MIN(IF((DiscreteStatsTable[GroupByKey]=DiscreteStatsTable[[#This Row],[GroupByKey]]),(DiscreteStatsTable[GroupByKey]=DiscreteStatsTable[[#This Row],[GroupByKey]])*DiscreteStatsTable[Average]))</f>
        <v>0</v>
      </c>
      <c r="S17" cm="1">
        <f t="array" ref="S17">MAX(IF((DiscreteStatsTable[GroupByKey]=DiscreteStatsTable[[#This Row],[GroupByKey]]),(DiscreteStatsTable[GroupByKey]=DiscreteStatsTable[[#This Row],[GroupByKey]])*DiscreteStatsTable[Average]))</f>
        <v>0</v>
      </c>
      <c r="T17" cm="1">
        <f t="array" ref="T17">MIN(IF((DiscreteStatsTable[GroupByKey]=DiscreteStatsTable[[#This Row],[GroupByKey]]),(DiscreteStatsTable[GroupByKey]=DiscreteStatsTable[[#This Row],[GroupByKey]])*DiscreteStatsTable[Minimum]))</f>
        <v>0</v>
      </c>
      <c r="U17" cm="1">
        <f t="array" ref="U17">MAX(IF((DiscreteStatsTable[GroupByKey]=DiscreteStatsTable[[#This Row],[GroupByKey]]),(DiscreteStatsTable[GroupByKey]=DiscreteStatsTable[[#This Row],[GroupByKey]])*DiscreteStatsTable[Maximum]))</f>
        <v>0</v>
      </c>
      <c r="V17" cm="1">
        <f t="array" ref="V17">IFERROR(AVERAGE(IF((DiscreteStatsTable[GroupByKey]=DiscreteStatsTable[[#This Row],[GroupByKey]]),(DiscreteStatsTable[GroupByKey]=DiscreteStatsTable[[#This Row],[GroupByKey]])*DiscreteStatsTable[NumberObservations])),0)</f>
        <v>5994.2</v>
      </c>
      <c r="W17">
        <f>IF((DiscreteStatsTable[[#This Row],[RepsRequested]]&gt;1),DiscreteStatsTable[[#This Row],[HalfWidth]],DiscreteStatsTable[[#This Row],[BatchMeansHalfWidth]])</f>
        <v>0</v>
      </c>
      <c r="X17" cm="1">
        <f t="array" ref="X17">COUNT(IF((DiscreteStatsTable[GroupByKey]=DiscreteStatsTable[[#This Row],[GroupByKey]]),(DiscreteStatsTable[GroupByKey]=DiscreteStatsTable[[#This Row],[GroupByKey]])*DiscreteStatsTable[Replication]))</f>
        <v>5</v>
      </c>
      <c r="Y17">
        <f>IF(DiscreteStatsTable[[#This Row],[RepsRequested]]=DiscreteStatsTable[[#This Row],[RepsWithStatObserved]],1,0)</f>
        <v>1</v>
      </c>
    </row>
    <row r="18" spans="1:25" x14ac:dyDescent="0.3">
      <c r="A18" t="s">
        <v>66</v>
      </c>
      <c r="B18" t="s">
        <v>69</v>
      </c>
      <c r="C18">
        <v>3</v>
      </c>
      <c r="D18" t="s">
        <v>70</v>
      </c>
      <c r="E18" t="s">
        <v>76</v>
      </c>
      <c r="F18" t="s">
        <v>72</v>
      </c>
      <c r="G18">
        <v>1.05159493826897</v>
      </c>
      <c r="H18">
        <v>5.0449672781764498E-3</v>
      </c>
      <c r="I18">
        <v>0.36376030087740202</v>
      </c>
      <c r="J18">
        <v>1.7219699602474099</v>
      </c>
      <c r="K18">
        <v>6014</v>
      </c>
      <c r="L18" t="str">
        <f>DiscreteStatsTable[[#This Row],[ProjectName]]&amp;DiscreteStatsTable[[#This Row],[Name]]&amp;DiscreteStatsTable[[#This Row],[Type]]&amp;DiscreteStatsTable[[#This Row],[Source]]</f>
        <v>Unnamed ProjectPartVA TimeEntity</v>
      </c>
      <c r="M18" cm="1">
        <f t="array" ref="M18">MAX(IF((ProjectInfoTable[ProjectName]=DiscreteStatsTable[[#This Row],[ProjectName]]),(ProjectInfoTable[ProjectName]=DiscreteStatsTable[[#This Row],[ProjectName]])*ProjectInfoTable[NumberOfReplications]))</f>
        <v>5</v>
      </c>
      <c r="N18" cm="1">
        <f t="array" ref="N18">IFERROR(AVERAGE(IF((DiscreteStatsTable[GroupByKey]=DiscreteStatsTable[[#This Row],[GroupByKey]]),(DiscreteStatsTable[GroupByKey]=DiscreteStatsTable[[#This Row],[GroupByKey]])*DiscreteStatsTable[Average])),0)</f>
        <v>1.0525621799284077</v>
      </c>
      <c r="O18" cm="1">
        <f t="array" ref="O18">IFERROR(_xlfn.STDEV.S(IF((DiscreteStatsTable[GroupByKey]=DiscreteStatsTable[[#This Row],[GroupByKey]]),(DiscreteStatsTable[GroupByKey]=DiscreteStatsTable[[#This Row],[GroupByKey]])*DiscreteStatsTable[Average])),0)</f>
        <v>3.067158552326994E-3</v>
      </c>
      <c r="P18" cm="1">
        <f t="array" ref="P18">MAX(IF((ProjectInfoTable[ProjectName]=DiscreteStatsTable[[#This Row],[ProjectName]]),(ProjectInfoTable[ProjectName]=DiscreteStatsTable[[#This Row],[ProjectName]])*ProjectInfoTable[ConfidenceInterval]))</f>
        <v>0.95</v>
      </c>
      <c r="Q18">
        <f>IF(AND(DiscreteStatsTable[[#This Row],[RepsWithStatObserved]]=1,Y18=0),200000000000000000000,IFERROR(_xlfn.T.INV.2T(1 -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3.8083803512072032E-3</v>
      </c>
      <c r="R18" cm="1">
        <f t="array" ref="R18">MIN(IF((DiscreteStatsTable[GroupByKey]=DiscreteStatsTable[[#This Row],[GroupByKey]]),(DiscreteStatsTable[GroupByKey]=DiscreteStatsTable[[#This Row],[GroupByKey]])*DiscreteStatsTable[Average]))</f>
        <v>1.04817101181257</v>
      </c>
      <c r="S18" cm="1">
        <f t="array" ref="S18">MAX(IF((DiscreteStatsTable[GroupByKey]=DiscreteStatsTable[[#This Row],[GroupByKey]]),(DiscreteStatsTable[GroupByKey]=DiscreteStatsTable[[#This Row],[GroupByKey]])*DiscreteStatsTable[Average]))</f>
        <v>1.05658522318634</v>
      </c>
      <c r="T18" cm="1">
        <f t="array" ref="T18">MIN(IF((DiscreteStatsTable[GroupByKey]=DiscreteStatsTable[[#This Row],[GroupByKey]]),(DiscreteStatsTable[GroupByKey]=DiscreteStatsTable[[#This Row],[GroupByKey]])*DiscreteStatsTable[Minimum]))</f>
        <v>0.22718674792668</v>
      </c>
      <c r="U18" cm="1">
        <f t="array" ref="U18">MAX(IF((DiscreteStatsTable[GroupByKey]=DiscreteStatsTable[[#This Row],[GroupByKey]]),(DiscreteStatsTable[GroupByKey]=DiscreteStatsTable[[#This Row],[GroupByKey]])*DiscreteStatsTable[Maximum]))</f>
        <v>1.8077917986534</v>
      </c>
      <c r="V18" cm="1">
        <f t="array" ref="V18">IFERROR(AVERAGE(IF((DiscreteStatsTable[GroupByKey]=DiscreteStatsTable[[#This Row],[GroupByKey]]),(DiscreteStatsTable[GroupByKey]=DiscreteStatsTable[[#This Row],[GroupByKey]])*DiscreteStatsTable[NumberObservations])),0)</f>
        <v>5994.2</v>
      </c>
      <c r="W18">
        <f>IF((DiscreteStatsTable[[#This Row],[RepsRequested]]&gt;1),DiscreteStatsTable[[#This Row],[HalfWidth]],DiscreteStatsTable[[#This Row],[BatchMeansHalfWidth]])</f>
        <v>3.8083803512072032E-3</v>
      </c>
      <c r="X18" cm="1">
        <f t="array" ref="X18">COUNT(IF((DiscreteStatsTable[GroupByKey]=DiscreteStatsTable[[#This Row],[GroupByKey]]),(DiscreteStatsTable[GroupByKey]=DiscreteStatsTable[[#This Row],[GroupByKey]])*DiscreteStatsTable[Replication]))</f>
        <v>5</v>
      </c>
      <c r="Y18">
        <f>IF(DiscreteStatsTable[[#This Row],[RepsRequested]]=DiscreteStatsTable[[#This Row],[RepsWithStatObserved]],1,0)</f>
        <v>1</v>
      </c>
    </row>
    <row r="19" spans="1:25" x14ac:dyDescent="0.3">
      <c r="A19" t="s">
        <v>66</v>
      </c>
      <c r="B19" t="s">
        <v>69</v>
      </c>
      <c r="C19">
        <v>3</v>
      </c>
      <c r="D19" t="s">
        <v>70</v>
      </c>
      <c r="E19" t="s">
        <v>77</v>
      </c>
      <c r="F19" t="s">
        <v>72</v>
      </c>
      <c r="G19">
        <v>0</v>
      </c>
      <c r="H19">
        <v>0</v>
      </c>
      <c r="I19">
        <v>0</v>
      </c>
      <c r="J19">
        <v>0</v>
      </c>
      <c r="K19">
        <v>6014</v>
      </c>
      <c r="L19" t="str">
        <f>DiscreteStatsTable[[#This Row],[ProjectName]]&amp;DiscreteStatsTable[[#This Row],[Name]]&amp;DiscreteStatsTable[[#This Row],[Type]]&amp;DiscreteStatsTable[[#This Row],[Source]]</f>
        <v>Unnamed ProjectPartWait TimeEntity</v>
      </c>
      <c r="M19" cm="1">
        <f t="array" ref="M19">MAX(IF((ProjectInfoTable[ProjectName]=DiscreteStatsTable[[#This Row],[ProjectName]]),(ProjectInfoTable[ProjectName]=DiscreteStatsTable[[#This Row],[ProjectName]])*ProjectInfoTable[NumberOfReplications]))</f>
        <v>5</v>
      </c>
      <c r="N19" cm="1">
        <f t="array" ref="N19">IFERROR(AVERAGE(IF((DiscreteStatsTable[GroupByKey]=DiscreteStatsTable[[#This Row],[GroupByKey]]),(DiscreteStatsTable[GroupByKey]=DiscreteStatsTable[[#This Row],[GroupByKey]])*DiscreteStatsTable[Average])),0)</f>
        <v>0</v>
      </c>
      <c r="O19" cm="1">
        <f t="array" ref="O19">IFERROR(_xlfn.STDEV.S(IF((DiscreteStatsTable[GroupByKey]=DiscreteStatsTable[[#This Row],[GroupByKey]]),(DiscreteStatsTable[GroupByKey]=DiscreteStatsTable[[#This Row],[GroupByKey]])*DiscreteStatsTable[Average])),0)</f>
        <v>0</v>
      </c>
      <c r="P19" cm="1">
        <f t="array" ref="P19">MAX(IF((ProjectInfoTable[ProjectName]=DiscreteStatsTable[[#This Row],[ProjectName]]),(ProjectInfoTable[ProjectName]=DiscreteStatsTable[[#This Row],[ProjectName]])*ProjectInfoTable[ConfidenceInterval]))</f>
        <v>0.95</v>
      </c>
      <c r="Q19">
        <f>IF(AND(DiscreteStatsTable[[#This Row],[RepsWithStatObserved]]=1,Y19=0),200000000000000000000,IFERROR(_xlfn.T.INV.2T(1 -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9" cm="1">
        <f t="array" ref="R19">MIN(IF((DiscreteStatsTable[GroupByKey]=DiscreteStatsTable[[#This Row],[GroupByKey]]),(DiscreteStatsTable[GroupByKey]=DiscreteStatsTable[[#This Row],[GroupByKey]])*DiscreteStatsTable[Average]))</f>
        <v>0</v>
      </c>
      <c r="S19" cm="1">
        <f t="array" ref="S19">MAX(IF((DiscreteStatsTable[GroupByKey]=DiscreteStatsTable[[#This Row],[GroupByKey]]),(DiscreteStatsTable[GroupByKey]=DiscreteStatsTable[[#This Row],[GroupByKey]])*DiscreteStatsTable[Average]))</f>
        <v>0</v>
      </c>
      <c r="T19" cm="1">
        <f t="array" ref="T19">MIN(IF((DiscreteStatsTable[GroupByKey]=DiscreteStatsTable[[#This Row],[GroupByKey]]),(DiscreteStatsTable[GroupByKey]=DiscreteStatsTable[[#This Row],[GroupByKey]])*DiscreteStatsTable[Minimum]))</f>
        <v>0</v>
      </c>
      <c r="U19" cm="1">
        <f t="array" ref="U19">MAX(IF((DiscreteStatsTable[GroupByKey]=DiscreteStatsTable[[#This Row],[GroupByKey]]),(DiscreteStatsTable[GroupByKey]=DiscreteStatsTable[[#This Row],[GroupByKey]])*DiscreteStatsTable[Maximum]))</f>
        <v>0</v>
      </c>
      <c r="V19" cm="1">
        <f t="array" ref="V19">IFERROR(AVERAGE(IF((DiscreteStatsTable[GroupByKey]=DiscreteStatsTable[[#This Row],[GroupByKey]]),(DiscreteStatsTable[GroupByKey]=DiscreteStatsTable[[#This Row],[GroupByKey]])*DiscreteStatsTable[NumberObservations])),0)</f>
        <v>5994.2</v>
      </c>
      <c r="W19">
        <f>IF((DiscreteStatsTable[[#This Row],[RepsRequested]]&gt;1),DiscreteStatsTable[[#This Row],[HalfWidth]],DiscreteStatsTable[[#This Row],[BatchMeansHalfWidth]])</f>
        <v>0</v>
      </c>
      <c r="X19" cm="1">
        <f t="array" ref="X19">COUNT(IF((DiscreteStatsTable[GroupByKey]=DiscreteStatsTable[[#This Row],[GroupByKey]]),(DiscreteStatsTable[GroupByKey]=DiscreteStatsTable[[#This Row],[GroupByKey]])*DiscreteStatsTable[Replication]))</f>
        <v>5</v>
      </c>
      <c r="Y19">
        <f>IF(DiscreteStatsTable[[#This Row],[RepsRequested]]=DiscreteStatsTable[[#This Row],[RepsWithStatObserved]],1,0)</f>
        <v>1</v>
      </c>
    </row>
    <row r="20" spans="1:25" x14ac:dyDescent="0.3">
      <c r="A20" t="s">
        <v>66</v>
      </c>
      <c r="B20" t="s">
        <v>69</v>
      </c>
      <c r="C20">
        <v>4</v>
      </c>
      <c r="D20" t="s">
        <v>70</v>
      </c>
      <c r="E20" t="s">
        <v>71</v>
      </c>
      <c r="F20" t="s">
        <v>72</v>
      </c>
      <c r="G20">
        <v>0</v>
      </c>
      <c r="H20">
        <v>0</v>
      </c>
      <c r="I20">
        <v>0</v>
      </c>
      <c r="J20">
        <v>0</v>
      </c>
      <c r="K20">
        <v>5985</v>
      </c>
      <c r="L20" t="str">
        <f>DiscreteStatsTable[[#This Row],[ProjectName]]&amp;DiscreteStatsTable[[#This Row],[Name]]&amp;DiscreteStatsTable[[#This Row],[Type]]&amp;DiscreteStatsTable[[#This Row],[Source]]</f>
        <v>Unnamed ProjectPartNVA TimeEntity</v>
      </c>
      <c r="M20" cm="1">
        <f t="array" ref="M20">MAX(IF((ProjectInfoTable[ProjectName]=DiscreteStatsTable[[#This Row],[ProjectName]]),(ProjectInfoTable[ProjectName]=DiscreteStatsTable[[#This Row],[ProjectName]])*ProjectInfoTable[NumberOfReplications]))</f>
        <v>5</v>
      </c>
      <c r="N20" cm="1">
        <f t="array" ref="N20">IFERROR(AVERAGE(IF((DiscreteStatsTable[GroupByKey]=DiscreteStatsTable[[#This Row],[GroupByKey]]),(DiscreteStatsTable[GroupByKey]=DiscreteStatsTable[[#This Row],[GroupByKey]])*DiscreteStatsTable[Average])),0)</f>
        <v>0</v>
      </c>
      <c r="O20" cm="1">
        <f t="array" ref="O20">IFERROR(_xlfn.STDEV.S(IF((DiscreteStatsTable[GroupByKey]=DiscreteStatsTable[[#This Row],[GroupByKey]]),(DiscreteStatsTable[GroupByKey]=DiscreteStatsTable[[#This Row],[GroupByKey]])*DiscreteStatsTable[Average])),0)</f>
        <v>0</v>
      </c>
      <c r="P20" cm="1">
        <f t="array" ref="P20">MAX(IF((ProjectInfoTable[ProjectName]=DiscreteStatsTable[[#This Row],[ProjectName]]),(ProjectInfoTable[ProjectName]=DiscreteStatsTable[[#This Row],[ProjectName]])*ProjectInfoTable[ConfidenceInterval]))</f>
        <v>0.95</v>
      </c>
      <c r="Q20">
        <f>IF(AND(DiscreteStatsTable[[#This Row],[RepsWithStatObserved]]=1,Y20=0),200000000000000000000,IFERROR(_xlfn.T.INV.2T(1 -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0" cm="1">
        <f t="array" ref="R20">MIN(IF((DiscreteStatsTable[GroupByKey]=DiscreteStatsTable[[#This Row],[GroupByKey]]),(DiscreteStatsTable[GroupByKey]=DiscreteStatsTable[[#This Row],[GroupByKey]])*DiscreteStatsTable[Average]))</f>
        <v>0</v>
      </c>
      <c r="S20" cm="1">
        <f t="array" ref="S20">MAX(IF((DiscreteStatsTable[GroupByKey]=DiscreteStatsTable[[#This Row],[GroupByKey]]),(DiscreteStatsTable[GroupByKey]=DiscreteStatsTable[[#This Row],[GroupByKey]])*DiscreteStatsTable[Average]))</f>
        <v>0</v>
      </c>
      <c r="T20" cm="1">
        <f t="array" ref="T20">MIN(IF((DiscreteStatsTable[GroupByKey]=DiscreteStatsTable[[#This Row],[GroupByKey]]),(DiscreteStatsTable[GroupByKey]=DiscreteStatsTable[[#This Row],[GroupByKey]])*DiscreteStatsTable[Minimum]))</f>
        <v>0</v>
      </c>
      <c r="U20" cm="1">
        <f t="array" ref="U20">MAX(IF((DiscreteStatsTable[GroupByKey]=DiscreteStatsTable[[#This Row],[GroupByKey]]),(DiscreteStatsTable[GroupByKey]=DiscreteStatsTable[[#This Row],[GroupByKey]])*DiscreteStatsTable[Maximum]))</f>
        <v>0</v>
      </c>
      <c r="V20" cm="1">
        <f t="array" ref="V20">IFERROR(AVERAGE(IF((DiscreteStatsTable[GroupByKey]=DiscreteStatsTable[[#This Row],[GroupByKey]]),(DiscreteStatsTable[GroupByKey]=DiscreteStatsTable[[#This Row],[GroupByKey]])*DiscreteStatsTable[NumberObservations])),0)</f>
        <v>5994.2</v>
      </c>
      <c r="W20">
        <f>IF((DiscreteStatsTable[[#This Row],[RepsRequested]]&gt;1),DiscreteStatsTable[[#This Row],[HalfWidth]],DiscreteStatsTable[[#This Row],[BatchMeansHalfWidth]])</f>
        <v>0</v>
      </c>
      <c r="X20" cm="1">
        <f t="array" ref="X20">COUNT(IF((DiscreteStatsTable[GroupByKey]=DiscreteStatsTable[[#This Row],[GroupByKey]]),(DiscreteStatsTable[GroupByKey]=DiscreteStatsTable[[#This Row],[GroupByKey]])*DiscreteStatsTable[Replication]))</f>
        <v>5</v>
      </c>
      <c r="Y20">
        <f>IF(DiscreteStatsTable[[#This Row],[RepsRequested]]=DiscreteStatsTable[[#This Row],[RepsWithStatObserved]],1,0)</f>
        <v>1</v>
      </c>
    </row>
    <row r="21" spans="1:25" x14ac:dyDescent="0.3">
      <c r="A21" t="s">
        <v>66</v>
      </c>
      <c r="B21" t="s">
        <v>69</v>
      </c>
      <c r="C21">
        <v>4</v>
      </c>
      <c r="D21" t="s">
        <v>70</v>
      </c>
      <c r="E21" t="s">
        <v>73</v>
      </c>
      <c r="F21" t="s">
        <v>72</v>
      </c>
      <c r="G21">
        <v>0</v>
      </c>
      <c r="H21">
        <v>0</v>
      </c>
      <c r="I21">
        <v>0</v>
      </c>
      <c r="J21">
        <v>0</v>
      </c>
      <c r="K21">
        <v>5985</v>
      </c>
      <c r="L21" t="str">
        <f>DiscreteStatsTable[[#This Row],[ProjectName]]&amp;DiscreteStatsTable[[#This Row],[Name]]&amp;DiscreteStatsTable[[#This Row],[Type]]&amp;DiscreteStatsTable[[#This Row],[Source]]</f>
        <v>Unnamed ProjectPartOther TimeEntity</v>
      </c>
      <c r="M21" cm="1">
        <f t="array" ref="M21">MAX(IF((ProjectInfoTable[ProjectName]=DiscreteStatsTable[[#This Row],[ProjectName]]),(ProjectInfoTable[ProjectName]=DiscreteStatsTable[[#This Row],[ProjectName]])*ProjectInfoTable[NumberOfReplications]))</f>
        <v>5</v>
      </c>
      <c r="N21" cm="1">
        <f t="array" ref="N21">IFERROR(AVERAGE(IF((DiscreteStatsTable[GroupByKey]=DiscreteStatsTable[[#This Row],[GroupByKey]]),(DiscreteStatsTable[GroupByKey]=DiscreteStatsTable[[#This Row],[GroupByKey]])*DiscreteStatsTable[Average])),0)</f>
        <v>0</v>
      </c>
      <c r="O21" cm="1">
        <f t="array" ref="O21">IFERROR(_xlfn.STDEV.S(IF((DiscreteStatsTable[GroupByKey]=DiscreteStatsTable[[#This Row],[GroupByKey]]),(DiscreteStatsTable[GroupByKey]=DiscreteStatsTable[[#This Row],[GroupByKey]])*DiscreteStatsTable[Average])),0)</f>
        <v>0</v>
      </c>
      <c r="P21" cm="1">
        <f t="array" ref="P21">MAX(IF((ProjectInfoTable[ProjectName]=DiscreteStatsTable[[#This Row],[ProjectName]]),(ProjectInfoTable[ProjectName]=DiscreteStatsTable[[#This Row],[ProjectName]])*ProjectInfoTable[ConfidenceInterval]))</f>
        <v>0.95</v>
      </c>
      <c r="Q21">
        <f>IF(AND(DiscreteStatsTable[[#This Row],[RepsWithStatObserved]]=1,Y21=0),200000000000000000000,IFERROR(_xlfn.T.INV.2T(1 -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1" cm="1">
        <f t="array" ref="R21">MIN(IF((DiscreteStatsTable[GroupByKey]=DiscreteStatsTable[[#This Row],[GroupByKey]]),(DiscreteStatsTable[GroupByKey]=DiscreteStatsTable[[#This Row],[GroupByKey]])*DiscreteStatsTable[Average]))</f>
        <v>0</v>
      </c>
      <c r="S21" cm="1">
        <f t="array" ref="S21">MAX(IF((DiscreteStatsTable[GroupByKey]=DiscreteStatsTable[[#This Row],[GroupByKey]]),(DiscreteStatsTable[GroupByKey]=DiscreteStatsTable[[#This Row],[GroupByKey]])*DiscreteStatsTable[Average]))</f>
        <v>0</v>
      </c>
      <c r="T21" cm="1">
        <f t="array" ref="T21">MIN(IF((DiscreteStatsTable[GroupByKey]=DiscreteStatsTable[[#This Row],[GroupByKey]]),(DiscreteStatsTable[GroupByKey]=DiscreteStatsTable[[#This Row],[GroupByKey]])*DiscreteStatsTable[Minimum]))</f>
        <v>0</v>
      </c>
      <c r="U21" cm="1">
        <f t="array" ref="U21">MAX(IF((DiscreteStatsTable[GroupByKey]=DiscreteStatsTable[[#This Row],[GroupByKey]]),(DiscreteStatsTable[GroupByKey]=DiscreteStatsTable[[#This Row],[GroupByKey]])*DiscreteStatsTable[Maximum]))</f>
        <v>0</v>
      </c>
      <c r="V21" cm="1">
        <f t="array" ref="V21">IFERROR(AVERAGE(IF((DiscreteStatsTable[GroupByKey]=DiscreteStatsTable[[#This Row],[GroupByKey]]),(DiscreteStatsTable[GroupByKey]=DiscreteStatsTable[[#This Row],[GroupByKey]])*DiscreteStatsTable[NumberObservations])),0)</f>
        <v>5994.2</v>
      </c>
      <c r="W21">
        <f>IF((DiscreteStatsTable[[#This Row],[RepsRequested]]&gt;1),DiscreteStatsTable[[#This Row],[HalfWidth]],DiscreteStatsTable[[#This Row],[BatchMeansHalfWidth]])</f>
        <v>0</v>
      </c>
      <c r="X21" cm="1">
        <f t="array" ref="X21">COUNT(IF((DiscreteStatsTable[GroupByKey]=DiscreteStatsTable[[#This Row],[GroupByKey]]),(DiscreteStatsTable[GroupByKey]=DiscreteStatsTable[[#This Row],[GroupByKey]])*DiscreteStatsTable[Replication]))</f>
        <v>5</v>
      </c>
      <c r="Y21">
        <f>IF(DiscreteStatsTable[[#This Row],[RepsRequested]]=DiscreteStatsTable[[#This Row],[RepsWithStatObserved]],1,0)</f>
        <v>1</v>
      </c>
    </row>
    <row r="22" spans="1:25" x14ac:dyDescent="0.3">
      <c r="A22" t="s">
        <v>66</v>
      </c>
      <c r="B22" t="s">
        <v>69</v>
      </c>
      <c r="C22">
        <v>4</v>
      </c>
      <c r="D22" t="s">
        <v>70</v>
      </c>
      <c r="E22" t="s">
        <v>74</v>
      </c>
      <c r="F22" t="s">
        <v>72</v>
      </c>
      <c r="G22">
        <v>1.05658522318634</v>
      </c>
      <c r="H22">
        <v>4.8841269105434201E-3</v>
      </c>
      <c r="I22">
        <v>0.22718674792668</v>
      </c>
      <c r="J22">
        <v>1.7992691797362601</v>
      </c>
      <c r="K22">
        <v>5985</v>
      </c>
      <c r="L22" t="str">
        <f>DiscreteStatsTable[[#This Row],[ProjectName]]&amp;DiscreteStatsTable[[#This Row],[Name]]&amp;DiscreteStatsTable[[#This Row],[Type]]&amp;DiscreteStatsTable[[#This Row],[Source]]</f>
        <v>Unnamed ProjectPartTotal TimeEntity</v>
      </c>
      <c r="M22" cm="1">
        <f t="array" ref="M22">MAX(IF((ProjectInfoTable[ProjectName]=DiscreteStatsTable[[#This Row],[ProjectName]]),(ProjectInfoTable[ProjectName]=DiscreteStatsTable[[#This Row],[ProjectName]])*ProjectInfoTable[NumberOfReplications]))</f>
        <v>5</v>
      </c>
      <c r="N22" cm="1">
        <f t="array" ref="N22">IFERROR(AVERAGE(IF((DiscreteStatsTable[GroupByKey]=DiscreteStatsTable[[#This Row],[GroupByKey]]),(DiscreteStatsTable[GroupByKey]=DiscreteStatsTable[[#This Row],[GroupByKey]])*DiscreteStatsTable[Average])),0)</f>
        <v>1.0525621799284077</v>
      </c>
      <c r="O22" cm="1">
        <f t="array" ref="O22">IFERROR(_xlfn.STDEV.S(IF((DiscreteStatsTable[GroupByKey]=DiscreteStatsTable[[#This Row],[GroupByKey]]),(DiscreteStatsTable[GroupByKey]=DiscreteStatsTable[[#This Row],[GroupByKey]])*DiscreteStatsTable[Average])),0)</f>
        <v>3.067158552326994E-3</v>
      </c>
      <c r="P22" cm="1">
        <f t="array" ref="P22">MAX(IF((ProjectInfoTable[ProjectName]=DiscreteStatsTable[[#This Row],[ProjectName]]),(ProjectInfoTable[ProjectName]=DiscreteStatsTable[[#This Row],[ProjectName]])*ProjectInfoTable[ConfidenceInterval]))</f>
        <v>0.95</v>
      </c>
      <c r="Q22">
        <f>IF(AND(DiscreteStatsTable[[#This Row],[RepsWithStatObserved]]=1,Y22=0),200000000000000000000,IFERROR(_xlfn.T.INV.2T(1 -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3.8083803512072032E-3</v>
      </c>
      <c r="R22" cm="1">
        <f t="array" ref="R22">MIN(IF((DiscreteStatsTable[GroupByKey]=DiscreteStatsTable[[#This Row],[GroupByKey]]),(DiscreteStatsTable[GroupByKey]=DiscreteStatsTable[[#This Row],[GroupByKey]])*DiscreteStatsTable[Average]))</f>
        <v>1.04817101181257</v>
      </c>
      <c r="S22" cm="1">
        <f t="array" ref="S22">MAX(IF((DiscreteStatsTable[GroupByKey]=DiscreteStatsTable[[#This Row],[GroupByKey]]),(DiscreteStatsTable[GroupByKey]=DiscreteStatsTable[[#This Row],[GroupByKey]])*DiscreteStatsTable[Average]))</f>
        <v>1.05658522318634</v>
      </c>
      <c r="T22" cm="1">
        <f t="array" ref="T22">MIN(IF((DiscreteStatsTable[GroupByKey]=DiscreteStatsTable[[#This Row],[GroupByKey]]),(DiscreteStatsTable[GroupByKey]=DiscreteStatsTable[[#This Row],[GroupByKey]])*DiscreteStatsTable[Minimum]))</f>
        <v>0.22718674792668</v>
      </c>
      <c r="U22" cm="1">
        <f t="array" ref="U22">MAX(IF((DiscreteStatsTable[GroupByKey]=DiscreteStatsTable[[#This Row],[GroupByKey]]),(DiscreteStatsTable[GroupByKey]=DiscreteStatsTable[[#This Row],[GroupByKey]])*DiscreteStatsTable[Maximum]))</f>
        <v>1.8077917986534</v>
      </c>
      <c r="V22" cm="1">
        <f t="array" ref="V22">IFERROR(AVERAGE(IF((DiscreteStatsTable[GroupByKey]=DiscreteStatsTable[[#This Row],[GroupByKey]]),(DiscreteStatsTable[GroupByKey]=DiscreteStatsTable[[#This Row],[GroupByKey]])*DiscreteStatsTable[NumberObservations])),0)</f>
        <v>5994.2</v>
      </c>
      <c r="W22">
        <f>IF((DiscreteStatsTable[[#This Row],[RepsRequested]]&gt;1),DiscreteStatsTable[[#This Row],[HalfWidth]],DiscreteStatsTable[[#This Row],[BatchMeansHalfWidth]])</f>
        <v>3.8083803512072032E-3</v>
      </c>
      <c r="X22" cm="1">
        <f t="array" ref="X22">COUNT(IF((DiscreteStatsTable[GroupByKey]=DiscreteStatsTable[[#This Row],[GroupByKey]]),(DiscreteStatsTable[GroupByKey]=DiscreteStatsTable[[#This Row],[GroupByKey]])*DiscreteStatsTable[Replication]))</f>
        <v>5</v>
      </c>
      <c r="Y22">
        <f>IF(DiscreteStatsTable[[#This Row],[RepsRequested]]=DiscreteStatsTable[[#This Row],[RepsWithStatObserved]],1,0)</f>
        <v>1</v>
      </c>
    </row>
    <row r="23" spans="1:25" x14ac:dyDescent="0.3">
      <c r="A23" t="s">
        <v>66</v>
      </c>
      <c r="B23" t="s">
        <v>69</v>
      </c>
      <c r="C23">
        <v>4</v>
      </c>
      <c r="D23" t="s">
        <v>70</v>
      </c>
      <c r="E23" t="s">
        <v>75</v>
      </c>
      <c r="F23" t="s">
        <v>72</v>
      </c>
      <c r="G23">
        <v>0</v>
      </c>
      <c r="H23">
        <v>0</v>
      </c>
      <c r="I23">
        <v>0</v>
      </c>
      <c r="J23">
        <v>0</v>
      </c>
      <c r="K23">
        <v>5985</v>
      </c>
      <c r="L23" t="str">
        <f>DiscreteStatsTable[[#This Row],[ProjectName]]&amp;DiscreteStatsTable[[#This Row],[Name]]&amp;DiscreteStatsTable[[#This Row],[Type]]&amp;DiscreteStatsTable[[#This Row],[Source]]</f>
        <v>Unnamed ProjectPartTransfer TimeEntity</v>
      </c>
      <c r="M23" cm="1">
        <f t="array" ref="M23">MAX(IF((ProjectInfoTable[ProjectName]=DiscreteStatsTable[[#This Row],[ProjectName]]),(ProjectInfoTable[ProjectName]=DiscreteStatsTable[[#This Row],[ProjectName]])*ProjectInfoTable[NumberOfReplications]))</f>
        <v>5</v>
      </c>
      <c r="N23" cm="1">
        <f t="array" ref="N23">IFERROR(AVERAGE(IF((DiscreteStatsTable[GroupByKey]=DiscreteStatsTable[[#This Row],[GroupByKey]]),(DiscreteStatsTable[GroupByKey]=DiscreteStatsTable[[#This Row],[GroupByKey]])*DiscreteStatsTable[Average])),0)</f>
        <v>0</v>
      </c>
      <c r="O23" cm="1">
        <f t="array" ref="O23">IFERROR(_xlfn.STDEV.S(IF((DiscreteStatsTable[GroupByKey]=DiscreteStatsTable[[#This Row],[GroupByKey]]),(DiscreteStatsTable[GroupByKey]=DiscreteStatsTable[[#This Row],[GroupByKey]])*DiscreteStatsTable[Average])),0)</f>
        <v>0</v>
      </c>
      <c r="P23" cm="1">
        <f t="array" ref="P23">MAX(IF((ProjectInfoTable[ProjectName]=DiscreteStatsTable[[#This Row],[ProjectName]]),(ProjectInfoTable[ProjectName]=DiscreteStatsTable[[#This Row],[ProjectName]])*ProjectInfoTable[ConfidenceInterval]))</f>
        <v>0.95</v>
      </c>
      <c r="Q23">
        <f>IF(AND(DiscreteStatsTable[[#This Row],[RepsWithStatObserved]]=1,Y23=0),200000000000000000000,IFERROR(_xlfn.T.INV.2T(1 -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3" cm="1">
        <f t="array" ref="R23">MIN(IF((DiscreteStatsTable[GroupByKey]=DiscreteStatsTable[[#This Row],[GroupByKey]]),(DiscreteStatsTable[GroupByKey]=DiscreteStatsTable[[#This Row],[GroupByKey]])*DiscreteStatsTable[Average]))</f>
        <v>0</v>
      </c>
      <c r="S23" cm="1">
        <f t="array" ref="S23">MAX(IF((DiscreteStatsTable[GroupByKey]=DiscreteStatsTable[[#This Row],[GroupByKey]]),(DiscreteStatsTable[GroupByKey]=DiscreteStatsTable[[#This Row],[GroupByKey]])*DiscreteStatsTable[Average]))</f>
        <v>0</v>
      </c>
      <c r="T23" cm="1">
        <f t="array" ref="T23">MIN(IF((DiscreteStatsTable[GroupByKey]=DiscreteStatsTable[[#This Row],[GroupByKey]]),(DiscreteStatsTable[GroupByKey]=DiscreteStatsTable[[#This Row],[GroupByKey]])*DiscreteStatsTable[Minimum]))</f>
        <v>0</v>
      </c>
      <c r="U23" cm="1">
        <f t="array" ref="U23">MAX(IF((DiscreteStatsTable[GroupByKey]=DiscreteStatsTable[[#This Row],[GroupByKey]]),(DiscreteStatsTable[GroupByKey]=DiscreteStatsTable[[#This Row],[GroupByKey]])*DiscreteStatsTable[Maximum]))</f>
        <v>0</v>
      </c>
      <c r="V23" cm="1">
        <f t="array" ref="V23">IFERROR(AVERAGE(IF((DiscreteStatsTable[GroupByKey]=DiscreteStatsTable[[#This Row],[GroupByKey]]),(DiscreteStatsTable[GroupByKey]=DiscreteStatsTable[[#This Row],[GroupByKey]])*DiscreteStatsTable[NumberObservations])),0)</f>
        <v>5994.2</v>
      </c>
      <c r="W23">
        <f>IF((DiscreteStatsTable[[#This Row],[RepsRequested]]&gt;1),DiscreteStatsTable[[#This Row],[HalfWidth]],DiscreteStatsTable[[#This Row],[BatchMeansHalfWidth]])</f>
        <v>0</v>
      </c>
      <c r="X23" cm="1">
        <f t="array" ref="X23">COUNT(IF((DiscreteStatsTable[GroupByKey]=DiscreteStatsTable[[#This Row],[GroupByKey]]),(DiscreteStatsTable[GroupByKey]=DiscreteStatsTable[[#This Row],[GroupByKey]])*DiscreteStatsTable[Replication]))</f>
        <v>5</v>
      </c>
      <c r="Y23">
        <f>IF(DiscreteStatsTable[[#This Row],[RepsRequested]]=DiscreteStatsTable[[#This Row],[RepsWithStatObserved]],1,0)</f>
        <v>1</v>
      </c>
    </row>
    <row r="24" spans="1:25" x14ac:dyDescent="0.3">
      <c r="A24" t="s">
        <v>66</v>
      </c>
      <c r="B24" t="s">
        <v>69</v>
      </c>
      <c r="C24">
        <v>4</v>
      </c>
      <c r="D24" t="s">
        <v>70</v>
      </c>
      <c r="E24" t="s">
        <v>76</v>
      </c>
      <c r="F24" t="s">
        <v>72</v>
      </c>
      <c r="G24">
        <v>1.05658522318634</v>
      </c>
      <c r="H24">
        <v>4.8841269105434201E-3</v>
      </c>
      <c r="I24">
        <v>0.22718674792668</v>
      </c>
      <c r="J24">
        <v>1.7992691797362601</v>
      </c>
      <c r="K24">
        <v>5985</v>
      </c>
      <c r="L24" t="str">
        <f>DiscreteStatsTable[[#This Row],[ProjectName]]&amp;DiscreteStatsTable[[#This Row],[Name]]&amp;DiscreteStatsTable[[#This Row],[Type]]&amp;DiscreteStatsTable[[#This Row],[Source]]</f>
        <v>Unnamed ProjectPartVA TimeEntity</v>
      </c>
      <c r="M24" cm="1">
        <f t="array" ref="M24">MAX(IF((ProjectInfoTable[ProjectName]=DiscreteStatsTable[[#This Row],[ProjectName]]),(ProjectInfoTable[ProjectName]=DiscreteStatsTable[[#This Row],[ProjectName]])*ProjectInfoTable[NumberOfReplications]))</f>
        <v>5</v>
      </c>
      <c r="N24" cm="1">
        <f t="array" ref="N24">IFERROR(AVERAGE(IF((DiscreteStatsTable[GroupByKey]=DiscreteStatsTable[[#This Row],[GroupByKey]]),(DiscreteStatsTable[GroupByKey]=DiscreteStatsTable[[#This Row],[GroupByKey]])*DiscreteStatsTable[Average])),0)</f>
        <v>1.0525621799284077</v>
      </c>
      <c r="O24" cm="1">
        <f t="array" ref="O24">IFERROR(_xlfn.STDEV.S(IF((DiscreteStatsTable[GroupByKey]=DiscreteStatsTable[[#This Row],[GroupByKey]]),(DiscreteStatsTable[GroupByKey]=DiscreteStatsTable[[#This Row],[GroupByKey]])*DiscreteStatsTable[Average])),0)</f>
        <v>3.067158552326994E-3</v>
      </c>
      <c r="P24" cm="1">
        <f t="array" ref="P24">MAX(IF((ProjectInfoTable[ProjectName]=DiscreteStatsTable[[#This Row],[ProjectName]]),(ProjectInfoTable[ProjectName]=DiscreteStatsTable[[#This Row],[ProjectName]])*ProjectInfoTable[ConfidenceInterval]))</f>
        <v>0.95</v>
      </c>
      <c r="Q24">
        <f>IF(AND(DiscreteStatsTable[[#This Row],[RepsWithStatObserved]]=1,Y24=0),200000000000000000000,IFERROR(_xlfn.T.INV.2T(1 -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3.8083803512072032E-3</v>
      </c>
      <c r="R24" cm="1">
        <f t="array" ref="R24">MIN(IF((DiscreteStatsTable[GroupByKey]=DiscreteStatsTable[[#This Row],[GroupByKey]]),(DiscreteStatsTable[GroupByKey]=DiscreteStatsTable[[#This Row],[GroupByKey]])*DiscreteStatsTable[Average]))</f>
        <v>1.04817101181257</v>
      </c>
      <c r="S24" cm="1">
        <f t="array" ref="S24">MAX(IF((DiscreteStatsTable[GroupByKey]=DiscreteStatsTable[[#This Row],[GroupByKey]]),(DiscreteStatsTable[GroupByKey]=DiscreteStatsTable[[#This Row],[GroupByKey]])*DiscreteStatsTable[Average]))</f>
        <v>1.05658522318634</v>
      </c>
      <c r="T24" cm="1">
        <f t="array" ref="T24">MIN(IF((DiscreteStatsTable[GroupByKey]=DiscreteStatsTable[[#This Row],[GroupByKey]]),(DiscreteStatsTable[GroupByKey]=DiscreteStatsTable[[#This Row],[GroupByKey]])*DiscreteStatsTable[Minimum]))</f>
        <v>0.22718674792668</v>
      </c>
      <c r="U24" cm="1">
        <f t="array" ref="U24">MAX(IF((DiscreteStatsTable[GroupByKey]=DiscreteStatsTable[[#This Row],[GroupByKey]]),(DiscreteStatsTable[GroupByKey]=DiscreteStatsTable[[#This Row],[GroupByKey]])*DiscreteStatsTable[Maximum]))</f>
        <v>1.8077917986534</v>
      </c>
      <c r="V24" cm="1">
        <f t="array" ref="V24">IFERROR(AVERAGE(IF((DiscreteStatsTable[GroupByKey]=DiscreteStatsTable[[#This Row],[GroupByKey]]),(DiscreteStatsTable[GroupByKey]=DiscreteStatsTable[[#This Row],[GroupByKey]])*DiscreteStatsTable[NumberObservations])),0)</f>
        <v>5994.2</v>
      </c>
      <c r="W24">
        <f>IF((DiscreteStatsTable[[#This Row],[RepsRequested]]&gt;1),DiscreteStatsTable[[#This Row],[HalfWidth]],DiscreteStatsTable[[#This Row],[BatchMeansHalfWidth]])</f>
        <v>3.8083803512072032E-3</v>
      </c>
      <c r="X24" cm="1">
        <f t="array" ref="X24">COUNT(IF((DiscreteStatsTable[GroupByKey]=DiscreteStatsTable[[#This Row],[GroupByKey]]),(DiscreteStatsTable[GroupByKey]=DiscreteStatsTable[[#This Row],[GroupByKey]])*DiscreteStatsTable[Replication]))</f>
        <v>5</v>
      </c>
      <c r="Y24">
        <f>IF(DiscreteStatsTable[[#This Row],[RepsRequested]]=DiscreteStatsTable[[#This Row],[RepsWithStatObserved]],1,0)</f>
        <v>1</v>
      </c>
    </row>
    <row r="25" spans="1:25" x14ac:dyDescent="0.3">
      <c r="A25" t="s">
        <v>66</v>
      </c>
      <c r="B25" t="s">
        <v>69</v>
      </c>
      <c r="C25">
        <v>4</v>
      </c>
      <c r="D25" t="s">
        <v>70</v>
      </c>
      <c r="E25" t="s">
        <v>77</v>
      </c>
      <c r="F25" t="s">
        <v>72</v>
      </c>
      <c r="G25">
        <v>0</v>
      </c>
      <c r="H25">
        <v>0</v>
      </c>
      <c r="I25">
        <v>0</v>
      </c>
      <c r="J25">
        <v>0</v>
      </c>
      <c r="K25">
        <v>5985</v>
      </c>
      <c r="L25" t="str">
        <f>DiscreteStatsTable[[#This Row],[ProjectName]]&amp;DiscreteStatsTable[[#This Row],[Name]]&amp;DiscreteStatsTable[[#This Row],[Type]]&amp;DiscreteStatsTable[[#This Row],[Source]]</f>
        <v>Unnamed ProjectPartWait TimeEntity</v>
      </c>
      <c r="M25" cm="1">
        <f t="array" ref="M25">MAX(IF((ProjectInfoTable[ProjectName]=DiscreteStatsTable[[#This Row],[ProjectName]]),(ProjectInfoTable[ProjectName]=DiscreteStatsTable[[#This Row],[ProjectName]])*ProjectInfoTable[NumberOfReplications]))</f>
        <v>5</v>
      </c>
      <c r="N25" cm="1">
        <f t="array" ref="N25">IFERROR(AVERAGE(IF((DiscreteStatsTable[GroupByKey]=DiscreteStatsTable[[#This Row],[GroupByKey]]),(DiscreteStatsTable[GroupByKey]=DiscreteStatsTable[[#This Row],[GroupByKey]])*DiscreteStatsTable[Average])),0)</f>
        <v>0</v>
      </c>
      <c r="O25" cm="1">
        <f t="array" ref="O25">IFERROR(_xlfn.STDEV.S(IF((DiscreteStatsTable[GroupByKey]=DiscreteStatsTable[[#This Row],[GroupByKey]]),(DiscreteStatsTable[GroupByKey]=DiscreteStatsTable[[#This Row],[GroupByKey]])*DiscreteStatsTable[Average])),0)</f>
        <v>0</v>
      </c>
      <c r="P25" cm="1">
        <f t="array" ref="P25">MAX(IF((ProjectInfoTable[ProjectName]=DiscreteStatsTable[[#This Row],[ProjectName]]),(ProjectInfoTable[ProjectName]=DiscreteStatsTable[[#This Row],[ProjectName]])*ProjectInfoTable[ConfidenceInterval]))</f>
        <v>0.95</v>
      </c>
      <c r="Q25">
        <f>IF(AND(DiscreteStatsTable[[#This Row],[RepsWithStatObserved]]=1,Y25=0),200000000000000000000,IFERROR(_xlfn.T.INV.2T(1 -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5" cm="1">
        <f t="array" ref="R25">MIN(IF((DiscreteStatsTable[GroupByKey]=DiscreteStatsTable[[#This Row],[GroupByKey]]),(DiscreteStatsTable[GroupByKey]=DiscreteStatsTable[[#This Row],[GroupByKey]])*DiscreteStatsTable[Average]))</f>
        <v>0</v>
      </c>
      <c r="S25" cm="1">
        <f t="array" ref="S25">MAX(IF((DiscreteStatsTable[GroupByKey]=DiscreteStatsTable[[#This Row],[GroupByKey]]),(DiscreteStatsTable[GroupByKey]=DiscreteStatsTable[[#This Row],[GroupByKey]])*DiscreteStatsTable[Average]))</f>
        <v>0</v>
      </c>
      <c r="T25" cm="1">
        <f t="array" ref="T25">MIN(IF((DiscreteStatsTable[GroupByKey]=DiscreteStatsTable[[#This Row],[GroupByKey]]),(DiscreteStatsTable[GroupByKey]=DiscreteStatsTable[[#This Row],[GroupByKey]])*DiscreteStatsTable[Minimum]))</f>
        <v>0</v>
      </c>
      <c r="U25" cm="1">
        <f t="array" ref="U25">MAX(IF((DiscreteStatsTable[GroupByKey]=DiscreteStatsTable[[#This Row],[GroupByKey]]),(DiscreteStatsTable[GroupByKey]=DiscreteStatsTable[[#This Row],[GroupByKey]])*DiscreteStatsTable[Maximum]))</f>
        <v>0</v>
      </c>
      <c r="V25" cm="1">
        <f t="array" ref="V25">IFERROR(AVERAGE(IF((DiscreteStatsTable[GroupByKey]=DiscreteStatsTable[[#This Row],[GroupByKey]]),(DiscreteStatsTable[GroupByKey]=DiscreteStatsTable[[#This Row],[GroupByKey]])*DiscreteStatsTable[NumberObservations])),0)</f>
        <v>5994.2</v>
      </c>
      <c r="W25">
        <f>IF((DiscreteStatsTable[[#This Row],[RepsRequested]]&gt;1),DiscreteStatsTable[[#This Row],[HalfWidth]],DiscreteStatsTable[[#This Row],[BatchMeansHalfWidth]])</f>
        <v>0</v>
      </c>
      <c r="X25" cm="1">
        <f t="array" ref="X25">COUNT(IF((DiscreteStatsTable[GroupByKey]=DiscreteStatsTable[[#This Row],[GroupByKey]]),(DiscreteStatsTable[GroupByKey]=DiscreteStatsTable[[#This Row],[GroupByKey]])*DiscreteStatsTable[Replication]))</f>
        <v>5</v>
      </c>
      <c r="Y25">
        <f>IF(DiscreteStatsTable[[#This Row],[RepsRequested]]=DiscreteStatsTable[[#This Row],[RepsWithStatObserved]],1,0)</f>
        <v>1</v>
      </c>
    </row>
    <row r="26" spans="1:25" x14ac:dyDescent="0.3">
      <c r="A26" t="s">
        <v>66</v>
      </c>
      <c r="B26" t="s">
        <v>69</v>
      </c>
      <c r="C26">
        <v>5</v>
      </c>
      <c r="D26" t="s">
        <v>70</v>
      </c>
      <c r="E26" t="s">
        <v>71</v>
      </c>
      <c r="F26" t="s">
        <v>72</v>
      </c>
      <c r="G26">
        <v>0</v>
      </c>
      <c r="H26">
        <v>0</v>
      </c>
      <c r="I26">
        <v>0</v>
      </c>
      <c r="J26">
        <v>0</v>
      </c>
      <c r="K26">
        <v>5991</v>
      </c>
      <c r="L26" t="str">
        <f>DiscreteStatsTable[[#This Row],[ProjectName]]&amp;DiscreteStatsTable[[#This Row],[Name]]&amp;DiscreteStatsTable[[#This Row],[Type]]&amp;DiscreteStatsTable[[#This Row],[Source]]</f>
        <v>Unnamed ProjectPartNVA TimeEntity</v>
      </c>
      <c r="M26" cm="1">
        <f t="array" ref="M26">MAX(IF((ProjectInfoTable[ProjectName]=DiscreteStatsTable[[#This Row],[ProjectName]]),(ProjectInfoTable[ProjectName]=DiscreteStatsTable[[#This Row],[ProjectName]])*ProjectInfoTable[NumberOfReplications]))</f>
        <v>5</v>
      </c>
      <c r="N26" cm="1">
        <f t="array" ref="N26">IFERROR(AVERAGE(IF((DiscreteStatsTable[GroupByKey]=DiscreteStatsTable[[#This Row],[GroupByKey]]),(DiscreteStatsTable[GroupByKey]=DiscreteStatsTable[[#This Row],[GroupByKey]])*DiscreteStatsTable[Average])),0)</f>
        <v>0</v>
      </c>
      <c r="O26" cm="1">
        <f t="array" ref="O26">IFERROR(_xlfn.STDEV.S(IF((DiscreteStatsTable[GroupByKey]=DiscreteStatsTable[[#This Row],[GroupByKey]]),(DiscreteStatsTable[GroupByKey]=DiscreteStatsTable[[#This Row],[GroupByKey]])*DiscreteStatsTable[Average])),0)</f>
        <v>0</v>
      </c>
      <c r="P26" cm="1">
        <f t="array" ref="P26">MAX(IF((ProjectInfoTable[ProjectName]=DiscreteStatsTable[[#This Row],[ProjectName]]),(ProjectInfoTable[ProjectName]=DiscreteStatsTable[[#This Row],[ProjectName]])*ProjectInfoTable[ConfidenceInterval]))</f>
        <v>0.95</v>
      </c>
      <c r="Q26">
        <f>IF(AND(DiscreteStatsTable[[#This Row],[RepsWithStatObserved]]=1,Y26=0),200000000000000000000,IFERROR(_xlfn.T.INV.2T(1 -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6" cm="1">
        <f t="array" ref="R26">MIN(IF((DiscreteStatsTable[GroupByKey]=DiscreteStatsTable[[#This Row],[GroupByKey]]),(DiscreteStatsTable[GroupByKey]=DiscreteStatsTable[[#This Row],[GroupByKey]])*DiscreteStatsTable[Average]))</f>
        <v>0</v>
      </c>
      <c r="S26" cm="1">
        <f t="array" ref="S26">MAX(IF((DiscreteStatsTable[GroupByKey]=DiscreteStatsTable[[#This Row],[GroupByKey]]),(DiscreteStatsTable[GroupByKey]=DiscreteStatsTable[[#This Row],[GroupByKey]])*DiscreteStatsTable[Average]))</f>
        <v>0</v>
      </c>
      <c r="T26" cm="1">
        <f t="array" ref="T26">MIN(IF((DiscreteStatsTable[GroupByKey]=DiscreteStatsTable[[#This Row],[GroupByKey]]),(DiscreteStatsTable[GroupByKey]=DiscreteStatsTable[[#This Row],[GroupByKey]])*DiscreteStatsTable[Minimum]))</f>
        <v>0</v>
      </c>
      <c r="U26" cm="1">
        <f t="array" ref="U26">MAX(IF((DiscreteStatsTable[GroupByKey]=DiscreteStatsTable[[#This Row],[GroupByKey]]),(DiscreteStatsTable[GroupByKey]=DiscreteStatsTable[[#This Row],[GroupByKey]])*DiscreteStatsTable[Maximum]))</f>
        <v>0</v>
      </c>
      <c r="V26" cm="1">
        <f t="array" ref="V26">IFERROR(AVERAGE(IF((DiscreteStatsTable[GroupByKey]=DiscreteStatsTable[[#This Row],[GroupByKey]]),(DiscreteStatsTable[GroupByKey]=DiscreteStatsTable[[#This Row],[GroupByKey]])*DiscreteStatsTable[NumberObservations])),0)</f>
        <v>5994.2</v>
      </c>
      <c r="W26">
        <f>IF((DiscreteStatsTable[[#This Row],[RepsRequested]]&gt;1),DiscreteStatsTable[[#This Row],[HalfWidth]],DiscreteStatsTable[[#This Row],[BatchMeansHalfWidth]])</f>
        <v>0</v>
      </c>
      <c r="X26" cm="1">
        <f t="array" ref="X26">COUNT(IF((DiscreteStatsTable[GroupByKey]=DiscreteStatsTable[[#This Row],[GroupByKey]]),(DiscreteStatsTable[GroupByKey]=DiscreteStatsTable[[#This Row],[GroupByKey]])*DiscreteStatsTable[Replication]))</f>
        <v>5</v>
      </c>
      <c r="Y26">
        <f>IF(DiscreteStatsTable[[#This Row],[RepsRequested]]=DiscreteStatsTable[[#This Row],[RepsWithStatObserved]],1,0)</f>
        <v>1</v>
      </c>
    </row>
    <row r="27" spans="1:25" x14ac:dyDescent="0.3">
      <c r="A27" t="s">
        <v>66</v>
      </c>
      <c r="B27" t="s">
        <v>69</v>
      </c>
      <c r="C27">
        <v>5</v>
      </c>
      <c r="D27" t="s">
        <v>70</v>
      </c>
      <c r="E27" t="s">
        <v>73</v>
      </c>
      <c r="F27" t="s">
        <v>72</v>
      </c>
      <c r="G27">
        <v>0</v>
      </c>
      <c r="H27">
        <v>0</v>
      </c>
      <c r="I27">
        <v>0</v>
      </c>
      <c r="J27">
        <v>0</v>
      </c>
      <c r="K27">
        <v>5991</v>
      </c>
      <c r="L27" t="str">
        <f>DiscreteStatsTable[[#This Row],[ProjectName]]&amp;DiscreteStatsTable[[#This Row],[Name]]&amp;DiscreteStatsTable[[#This Row],[Type]]&amp;DiscreteStatsTable[[#This Row],[Source]]</f>
        <v>Unnamed ProjectPartOther TimeEntity</v>
      </c>
      <c r="M27" cm="1">
        <f t="array" ref="M27">MAX(IF((ProjectInfoTable[ProjectName]=DiscreteStatsTable[[#This Row],[ProjectName]]),(ProjectInfoTable[ProjectName]=DiscreteStatsTable[[#This Row],[ProjectName]])*ProjectInfoTable[NumberOfReplications]))</f>
        <v>5</v>
      </c>
      <c r="N27" cm="1">
        <f t="array" ref="N27">IFERROR(AVERAGE(IF((DiscreteStatsTable[GroupByKey]=DiscreteStatsTable[[#This Row],[GroupByKey]]),(DiscreteStatsTable[GroupByKey]=DiscreteStatsTable[[#This Row],[GroupByKey]])*DiscreteStatsTable[Average])),0)</f>
        <v>0</v>
      </c>
      <c r="O27" cm="1">
        <f t="array" ref="O27">IFERROR(_xlfn.STDEV.S(IF((DiscreteStatsTable[GroupByKey]=DiscreteStatsTable[[#This Row],[GroupByKey]]),(DiscreteStatsTable[GroupByKey]=DiscreteStatsTable[[#This Row],[GroupByKey]])*DiscreteStatsTable[Average])),0)</f>
        <v>0</v>
      </c>
      <c r="P27" cm="1">
        <f t="array" ref="P27">MAX(IF((ProjectInfoTable[ProjectName]=DiscreteStatsTable[[#This Row],[ProjectName]]),(ProjectInfoTable[ProjectName]=DiscreteStatsTable[[#This Row],[ProjectName]])*ProjectInfoTable[ConfidenceInterval]))</f>
        <v>0.95</v>
      </c>
      <c r="Q27">
        <f>IF(AND(DiscreteStatsTable[[#This Row],[RepsWithStatObserved]]=1,Y27=0),200000000000000000000,IFERROR(_xlfn.T.INV.2T(1 -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7" cm="1">
        <f t="array" ref="R27">MIN(IF((DiscreteStatsTable[GroupByKey]=DiscreteStatsTable[[#This Row],[GroupByKey]]),(DiscreteStatsTable[GroupByKey]=DiscreteStatsTable[[#This Row],[GroupByKey]])*DiscreteStatsTable[Average]))</f>
        <v>0</v>
      </c>
      <c r="S27" cm="1">
        <f t="array" ref="S27">MAX(IF((DiscreteStatsTable[GroupByKey]=DiscreteStatsTable[[#This Row],[GroupByKey]]),(DiscreteStatsTable[GroupByKey]=DiscreteStatsTable[[#This Row],[GroupByKey]])*DiscreteStatsTable[Average]))</f>
        <v>0</v>
      </c>
      <c r="T27" cm="1">
        <f t="array" ref="T27">MIN(IF((DiscreteStatsTable[GroupByKey]=DiscreteStatsTable[[#This Row],[GroupByKey]]),(DiscreteStatsTable[GroupByKey]=DiscreteStatsTable[[#This Row],[GroupByKey]])*DiscreteStatsTable[Minimum]))</f>
        <v>0</v>
      </c>
      <c r="U27" cm="1">
        <f t="array" ref="U27">MAX(IF((DiscreteStatsTable[GroupByKey]=DiscreteStatsTable[[#This Row],[GroupByKey]]),(DiscreteStatsTable[GroupByKey]=DiscreteStatsTable[[#This Row],[GroupByKey]])*DiscreteStatsTable[Maximum]))</f>
        <v>0</v>
      </c>
      <c r="V27" cm="1">
        <f t="array" ref="V27">IFERROR(AVERAGE(IF((DiscreteStatsTable[GroupByKey]=DiscreteStatsTable[[#This Row],[GroupByKey]]),(DiscreteStatsTable[GroupByKey]=DiscreteStatsTable[[#This Row],[GroupByKey]])*DiscreteStatsTable[NumberObservations])),0)</f>
        <v>5994.2</v>
      </c>
      <c r="W27">
        <f>IF((DiscreteStatsTable[[#This Row],[RepsRequested]]&gt;1),DiscreteStatsTable[[#This Row],[HalfWidth]],DiscreteStatsTable[[#This Row],[BatchMeansHalfWidth]])</f>
        <v>0</v>
      </c>
      <c r="X27" cm="1">
        <f t="array" ref="X27">COUNT(IF((DiscreteStatsTable[GroupByKey]=DiscreteStatsTable[[#This Row],[GroupByKey]]),(DiscreteStatsTable[GroupByKey]=DiscreteStatsTable[[#This Row],[GroupByKey]])*DiscreteStatsTable[Replication]))</f>
        <v>5</v>
      </c>
      <c r="Y27">
        <f>IF(DiscreteStatsTable[[#This Row],[RepsRequested]]=DiscreteStatsTable[[#This Row],[RepsWithStatObserved]],1,0)</f>
        <v>1</v>
      </c>
    </row>
    <row r="28" spans="1:25" x14ac:dyDescent="0.3">
      <c r="A28" t="s">
        <v>66</v>
      </c>
      <c r="B28" t="s">
        <v>69</v>
      </c>
      <c r="C28">
        <v>5</v>
      </c>
      <c r="D28" t="s">
        <v>70</v>
      </c>
      <c r="E28" t="s">
        <v>74</v>
      </c>
      <c r="F28" t="s">
        <v>72</v>
      </c>
      <c r="G28">
        <v>1.04817101181257</v>
      </c>
      <c r="H28">
        <v>5.2658166824937104E-3</v>
      </c>
      <c r="I28">
        <v>0.31080361367366999</v>
      </c>
      <c r="J28">
        <v>1.79320743615926</v>
      </c>
      <c r="K28">
        <v>5991</v>
      </c>
      <c r="L28" t="str">
        <f>DiscreteStatsTable[[#This Row],[ProjectName]]&amp;DiscreteStatsTable[[#This Row],[Name]]&amp;DiscreteStatsTable[[#This Row],[Type]]&amp;DiscreteStatsTable[[#This Row],[Source]]</f>
        <v>Unnamed ProjectPartTotal TimeEntity</v>
      </c>
      <c r="M28" cm="1">
        <f t="array" ref="M28">MAX(IF((ProjectInfoTable[ProjectName]=DiscreteStatsTable[[#This Row],[ProjectName]]),(ProjectInfoTable[ProjectName]=DiscreteStatsTable[[#This Row],[ProjectName]])*ProjectInfoTable[NumberOfReplications]))</f>
        <v>5</v>
      </c>
      <c r="N28" cm="1">
        <f t="array" ref="N28">IFERROR(AVERAGE(IF((DiscreteStatsTable[GroupByKey]=DiscreteStatsTable[[#This Row],[GroupByKey]]),(DiscreteStatsTable[GroupByKey]=DiscreteStatsTable[[#This Row],[GroupByKey]])*DiscreteStatsTable[Average])),0)</f>
        <v>1.0525621799284077</v>
      </c>
      <c r="O28" cm="1">
        <f t="array" ref="O28">IFERROR(_xlfn.STDEV.S(IF((DiscreteStatsTable[GroupByKey]=DiscreteStatsTable[[#This Row],[GroupByKey]]),(DiscreteStatsTable[GroupByKey]=DiscreteStatsTable[[#This Row],[GroupByKey]])*DiscreteStatsTable[Average])),0)</f>
        <v>3.067158552326994E-3</v>
      </c>
      <c r="P28" cm="1">
        <f t="array" ref="P28">MAX(IF((ProjectInfoTable[ProjectName]=DiscreteStatsTable[[#This Row],[ProjectName]]),(ProjectInfoTable[ProjectName]=DiscreteStatsTable[[#This Row],[ProjectName]])*ProjectInfoTable[ConfidenceInterval]))</f>
        <v>0.95</v>
      </c>
      <c r="Q28">
        <f>IF(AND(DiscreteStatsTable[[#This Row],[RepsWithStatObserved]]=1,Y28=0),200000000000000000000,IFERROR(_xlfn.T.INV.2T(1 -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3.8083803512072032E-3</v>
      </c>
      <c r="R28" cm="1">
        <f t="array" ref="R28">MIN(IF((DiscreteStatsTable[GroupByKey]=DiscreteStatsTable[[#This Row],[GroupByKey]]),(DiscreteStatsTable[GroupByKey]=DiscreteStatsTable[[#This Row],[GroupByKey]])*DiscreteStatsTable[Average]))</f>
        <v>1.04817101181257</v>
      </c>
      <c r="S28" cm="1">
        <f t="array" ref="S28">MAX(IF((DiscreteStatsTable[GroupByKey]=DiscreteStatsTable[[#This Row],[GroupByKey]]),(DiscreteStatsTable[GroupByKey]=DiscreteStatsTable[[#This Row],[GroupByKey]])*DiscreteStatsTable[Average]))</f>
        <v>1.05658522318634</v>
      </c>
      <c r="T28" cm="1">
        <f t="array" ref="T28">MIN(IF((DiscreteStatsTable[GroupByKey]=DiscreteStatsTable[[#This Row],[GroupByKey]]),(DiscreteStatsTable[GroupByKey]=DiscreteStatsTable[[#This Row],[GroupByKey]])*DiscreteStatsTable[Minimum]))</f>
        <v>0.22718674792668</v>
      </c>
      <c r="U28" cm="1">
        <f t="array" ref="U28">MAX(IF((DiscreteStatsTable[GroupByKey]=DiscreteStatsTable[[#This Row],[GroupByKey]]),(DiscreteStatsTable[GroupByKey]=DiscreteStatsTable[[#This Row],[GroupByKey]])*DiscreteStatsTable[Maximum]))</f>
        <v>1.8077917986534</v>
      </c>
      <c r="V28" cm="1">
        <f t="array" ref="V28">IFERROR(AVERAGE(IF((DiscreteStatsTable[GroupByKey]=DiscreteStatsTable[[#This Row],[GroupByKey]]),(DiscreteStatsTable[GroupByKey]=DiscreteStatsTable[[#This Row],[GroupByKey]])*DiscreteStatsTable[NumberObservations])),0)</f>
        <v>5994.2</v>
      </c>
      <c r="W28">
        <f>IF((DiscreteStatsTable[[#This Row],[RepsRequested]]&gt;1),DiscreteStatsTable[[#This Row],[HalfWidth]],DiscreteStatsTable[[#This Row],[BatchMeansHalfWidth]])</f>
        <v>3.8083803512072032E-3</v>
      </c>
      <c r="X28" cm="1">
        <f t="array" ref="X28">COUNT(IF((DiscreteStatsTable[GroupByKey]=DiscreteStatsTable[[#This Row],[GroupByKey]]),(DiscreteStatsTable[GroupByKey]=DiscreteStatsTable[[#This Row],[GroupByKey]])*DiscreteStatsTable[Replication]))</f>
        <v>5</v>
      </c>
      <c r="Y28">
        <f>IF(DiscreteStatsTable[[#This Row],[RepsRequested]]=DiscreteStatsTable[[#This Row],[RepsWithStatObserved]],1,0)</f>
        <v>1</v>
      </c>
    </row>
    <row r="29" spans="1:25" x14ac:dyDescent="0.3">
      <c r="A29" t="s">
        <v>66</v>
      </c>
      <c r="B29" t="s">
        <v>69</v>
      </c>
      <c r="C29">
        <v>5</v>
      </c>
      <c r="D29" t="s">
        <v>70</v>
      </c>
      <c r="E29" t="s">
        <v>75</v>
      </c>
      <c r="F29" t="s">
        <v>72</v>
      </c>
      <c r="G29">
        <v>0</v>
      </c>
      <c r="H29">
        <v>0</v>
      </c>
      <c r="I29">
        <v>0</v>
      </c>
      <c r="J29">
        <v>0</v>
      </c>
      <c r="K29">
        <v>5991</v>
      </c>
      <c r="L29" t="str">
        <f>DiscreteStatsTable[[#This Row],[ProjectName]]&amp;DiscreteStatsTable[[#This Row],[Name]]&amp;DiscreteStatsTable[[#This Row],[Type]]&amp;DiscreteStatsTable[[#This Row],[Source]]</f>
        <v>Unnamed ProjectPartTransfer TimeEntity</v>
      </c>
      <c r="M29" cm="1">
        <f t="array" ref="M29">MAX(IF((ProjectInfoTable[ProjectName]=DiscreteStatsTable[[#This Row],[ProjectName]]),(ProjectInfoTable[ProjectName]=DiscreteStatsTable[[#This Row],[ProjectName]])*ProjectInfoTable[NumberOfReplications]))</f>
        <v>5</v>
      </c>
      <c r="N29" cm="1">
        <f t="array" ref="N29">IFERROR(AVERAGE(IF((DiscreteStatsTable[GroupByKey]=DiscreteStatsTable[[#This Row],[GroupByKey]]),(DiscreteStatsTable[GroupByKey]=DiscreteStatsTable[[#This Row],[GroupByKey]])*DiscreteStatsTable[Average])),0)</f>
        <v>0</v>
      </c>
      <c r="O29" cm="1">
        <f t="array" ref="O29">IFERROR(_xlfn.STDEV.S(IF((DiscreteStatsTable[GroupByKey]=DiscreteStatsTable[[#This Row],[GroupByKey]]),(DiscreteStatsTable[GroupByKey]=DiscreteStatsTable[[#This Row],[GroupByKey]])*DiscreteStatsTable[Average])),0)</f>
        <v>0</v>
      </c>
      <c r="P29" cm="1">
        <f t="array" ref="P29">MAX(IF((ProjectInfoTable[ProjectName]=DiscreteStatsTable[[#This Row],[ProjectName]]),(ProjectInfoTable[ProjectName]=DiscreteStatsTable[[#This Row],[ProjectName]])*ProjectInfoTable[ConfidenceInterval]))</f>
        <v>0.95</v>
      </c>
      <c r="Q29">
        <f>IF(AND(DiscreteStatsTable[[#This Row],[RepsWithStatObserved]]=1,Y29=0),200000000000000000000,IFERROR(_xlfn.T.INV.2T(1 -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9" cm="1">
        <f t="array" ref="R29">MIN(IF((DiscreteStatsTable[GroupByKey]=DiscreteStatsTable[[#This Row],[GroupByKey]]),(DiscreteStatsTable[GroupByKey]=DiscreteStatsTable[[#This Row],[GroupByKey]])*DiscreteStatsTable[Average]))</f>
        <v>0</v>
      </c>
      <c r="S29" cm="1">
        <f t="array" ref="S29">MAX(IF((DiscreteStatsTable[GroupByKey]=DiscreteStatsTable[[#This Row],[GroupByKey]]),(DiscreteStatsTable[GroupByKey]=DiscreteStatsTable[[#This Row],[GroupByKey]])*DiscreteStatsTable[Average]))</f>
        <v>0</v>
      </c>
      <c r="T29" cm="1">
        <f t="array" ref="T29">MIN(IF((DiscreteStatsTable[GroupByKey]=DiscreteStatsTable[[#This Row],[GroupByKey]]),(DiscreteStatsTable[GroupByKey]=DiscreteStatsTable[[#This Row],[GroupByKey]])*DiscreteStatsTable[Minimum]))</f>
        <v>0</v>
      </c>
      <c r="U29" cm="1">
        <f t="array" ref="U29">MAX(IF((DiscreteStatsTable[GroupByKey]=DiscreteStatsTable[[#This Row],[GroupByKey]]),(DiscreteStatsTable[GroupByKey]=DiscreteStatsTable[[#This Row],[GroupByKey]])*DiscreteStatsTable[Maximum]))</f>
        <v>0</v>
      </c>
      <c r="V29" cm="1">
        <f t="array" ref="V29">IFERROR(AVERAGE(IF((DiscreteStatsTable[GroupByKey]=DiscreteStatsTable[[#This Row],[GroupByKey]]),(DiscreteStatsTable[GroupByKey]=DiscreteStatsTable[[#This Row],[GroupByKey]])*DiscreteStatsTable[NumberObservations])),0)</f>
        <v>5994.2</v>
      </c>
      <c r="W29">
        <f>IF((DiscreteStatsTable[[#This Row],[RepsRequested]]&gt;1),DiscreteStatsTable[[#This Row],[HalfWidth]],DiscreteStatsTable[[#This Row],[BatchMeansHalfWidth]])</f>
        <v>0</v>
      </c>
      <c r="X29" cm="1">
        <f t="array" ref="X29">COUNT(IF((DiscreteStatsTable[GroupByKey]=DiscreteStatsTable[[#This Row],[GroupByKey]]),(DiscreteStatsTable[GroupByKey]=DiscreteStatsTable[[#This Row],[GroupByKey]])*DiscreteStatsTable[Replication]))</f>
        <v>5</v>
      </c>
      <c r="Y29">
        <f>IF(DiscreteStatsTable[[#This Row],[RepsRequested]]=DiscreteStatsTable[[#This Row],[RepsWithStatObserved]],1,0)</f>
        <v>1</v>
      </c>
    </row>
    <row r="30" spans="1:25" x14ac:dyDescent="0.3">
      <c r="A30" t="s">
        <v>66</v>
      </c>
      <c r="B30" t="s">
        <v>69</v>
      </c>
      <c r="C30">
        <v>5</v>
      </c>
      <c r="D30" t="s">
        <v>70</v>
      </c>
      <c r="E30" t="s">
        <v>76</v>
      </c>
      <c r="F30" t="s">
        <v>72</v>
      </c>
      <c r="G30">
        <v>1.04817101181257</v>
      </c>
      <c r="H30">
        <v>5.2658166824937104E-3</v>
      </c>
      <c r="I30">
        <v>0.31080361367366999</v>
      </c>
      <c r="J30">
        <v>1.79320743615926</v>
      </c>
      <c r="K30">
        <v>5991</v>
      </c>
      <c r="L30" t="str">
        <f>DiscreteStatsTable[[#This Row],[ProjectName]]&amp;DiscreteStatsTable[[#This Row],[Name]]&amp;DiscreteStatsTable[[#This Row],[Type]]&amp;DiscreteStatsTable[[#This Row],[Source]]</f>
        <v>Unnamed ProjectPartVA TimeEntity</v>
      </c>
      <c r="M30" cm="1">
        <f t="array" ref="M30">MAX(IF((ProjectInfoTable[ProjectName]=DiscreteStatsTable[[#This Row],[ProjectName]]),(ProjectInfoTable[ProjectName]=DiscreteStatsTable[[#This Row],[ProjectName]])*ProjectInfoTable[NumberOfReplications]))</f>
        <v>5</v>
      </c>
      <c r="N30" cm="1">
        <f t="array" ref="N30">IFERROR(AVERAGE(IF((DiscreteStatsTable[GroupByKey]=DiscreteStatsTable[[#This Row],[GroupByKey]]),(DiscreteStatsTable[GroupByKey]=DiscreteStatsTable[[#This Row],[GroupByKey]])*DiscreteStatsTable[Average])),0)</f>
        <v>1.0525621799284077</v>
      </c>
      <c r="O30" cm="1">
        <f t="array" ref="O30">IFERROR(_xlfn.STDEV.S(IF((DiscreteStatsTable[GroupByKey]=DiscreteStatsTable[[#This Row],[GroupByKey]]),(DiscreteStatsTable[GroupByKey]=DiscreteStatsTable[[#This Row],[GroupByKey]])*DiscreteStatsTable[Average])),0)</f>
        <v>3.067158552326994E-3</v>
      </c>
      <c r="P30" cm="1">
        <f t="array" ref="P30">MAX(IF((ProjectInfoTable[ProjectName]=DiscreteStatsTable[[#This Row],[ProjectName]]),(ProjectInfoTable[ProjectName]=DiscreteStatsTable[[#This Row],[ProjectName]])*ProjectInfoTable[ConfidenceInterval]))</f>
        <v>0.95</v>
      </c>
      <c r="Q30">
        <f>IF(AND(DiscreteStatsTable[[#This Row],[RepsWithStatObserved]]=1,Y30=0),200000000000000000000,IFERROR(_xlfn.T.INV.2T(1 -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3.8083803512072032E-3</v>
      </c>
      <c r="R30" cm="1">
        <f t="array" ref="R30">MIN(IF((DiscreteStatsTable[GroupByKey]=DiscreteStatsTable[[#This Row],[GroupByKey]]),(DiscreteStatsTable[GroupByKey]=DiscreteStatsTable[[#This Row],[GroupByKey]])*DiscreteStatsTable[Average]))</f>
        <v>1.04817101181257</v>
      </c>
      <c r="S30" cm="1">
        <f t="array" ref="S30">MAX(IF((DiscreteStatsTable[GroupByKey]=DiscreteStatsTable[[#This Row],[GroupByKey]]),(DiscreteStatsTable[GroupByKey]=DiscreteStatsTable[[#This Row],[GroupByKey]])*DiscreteStatsTable[Average]))</f>
        <v>1.05658522318634</v>
      </c>
      <c r="T30" cm="1">
        <f t="array" ref="T30">MIN(IF((DiscreteStatsTable[GroupByKey]=DiscreteStatsTable[[#This Row],[GroupByKey]]),(DiscreteStatsTable[GroupByKey]=DiscreteStatsTable[[#This Row],[GroupByKey]])*DiscreteStatsTable[Minimum]))</f>
        <v>0.22718674792668</v>
      </c>
      <c r="U30" cm="1">
        <f t="array" ref="U30">MAX(IF((DiscreteStatsTable[GroupByKey]=DiscreteStatsTable[[#This Row],[GroupByKey]]),(DiscreteStatsTable[GroupByKey]=DiscreteStatsTable[[#This Row],[GroupByKey]])*DiscreteStatsTable[Maximum]))</f>
        <v>1.8077917986534</v>
      </c>
      <c r="V30" cm="1">
        <f t="array" ref="V30">IFERROR(AVERAGE(IF((DiscreteStatsTable[GroupByKey]=DiscreteStatsTable[[#This Row],[GroupByKey]]),(DiscreteStatsTable[GroupByKey]=DiscreteStatsTable[[#This Row],[GroupByKey]])*DiscreteStatsTable[NumberObservations])),0)</f>
        <v>5994.2</v>
      </c>
      <c r="W30">
        <f>IF((DiscreteStatsTable[[#This Row],[RepsRequested]]&gt;1),DiscreteStatsTable[[#This Row],[HalfWidth]],DiscreteStatsTable[[#This Row],[BatchMeansHalfWidth]])</f>
        <v>3.8083803512072032E-3</v>
      </c>
      <c r="X30" cm="1">
        <f t="array" ref="X30">COUNT(IF((DiscreteStatsTable[GroupByKey]=DiscreteStatsTable[[#This Row],[GroupByKey]]),(DiscreteStatsTable[GroupByKey]=DiscreteStatsTable[[#This Row],[GroupByKey]])*DiscreteStatsTable[Replication]))</f>
        <v>5</v>
      </c>
      <c r="Y30">
        <f>IF(DiscreteStatsTable[[#This Row],[RepsRequested]]=DiscreteStatsTable[[#This Row],[RepsWithStatObserved]],1,0)</f>
        <v>1</v>
      </c>
    </row>
    <row r="31" spans="1:25" x14ac:dyDescent="0.3">
      <c r="A31" t="s">
        <v>66</v>
      </c>
      <c r="B31" t="s">
        <v>69</v>
      </c>
      <c r="C31">
        <v>5</v>
      </c>
      <c r="D31" t="s">
        <v>70</v>
      </c>
      <c r="E31" t="s">
        <v>77</v>
      </c>
      <c r="F31" t="s">
        <v>72</v>
      </c>
      <c r="G31">
        <v>0</v>
      </c>
      <c r="H31">
        <v>0</v>
      </c>
      <c r="I31">
        <v>0</v>
      </c>
      <c r="J31">
        <v>0</v>
      </c>
      <c r="K31">
        <v>5991</v>
      </c>
      <c r="L31" t="str">
        <f>DiscreteStatsTable[[#This Row],[ProjectName]]&amp;DiscreteStatsTable[[#This Row],[Name]]&amp;DiscreteStatsTable[[#This Row],[Type]]&amp;DiscreteStatsTable[[#This Row],[Source]]</f>
        <v>Unnamed ProjectPartWait TimeEntity</v>
      </c>
      <c r="M31" cm="1">
        <f t="array" ref="M31">MAX(IF((ProjectInfoTable[ProjectName]=DiscreteStatsTable[[#This Row],[ProjectName]]),(ProjectInfoTable[ProjectName]=DiscreteStatsTable[[#This Row],[ProjectName]])*ProjectInfoTable[NumberOfReplications]))</f>
        <v>5</v>
      </c>
      <c r="N31" cm="1">
        <f t="array" ref="N31">IFERROR(AVERAGE(IF((DiscreteStatsTable[GroupByKey]=DiscreteStatsTable[[#This Row],[GroupByKey]]),(DiscreteStatsTable[GroupByKey]=DiscreteStatsTable[[#This Row],[GroupByKey]])*DiscreteStatsTable[Average])),0)</f>
        <v>0</v>
      </c>
      <c r="O31" cm="1">
        <f t="array" ref="O31">IFERROR(_xlfn.STDEV.S(IF((DiscreteStatsTable[GroupByKey]=DiscreteStatsTable[[#This Row],[GroupByKey]]),(DiscreteStatsTable[GroupByKey]=DiscreteStatsTable[[#This Row],[GroupByKey]])*DiscreteStatsTable[Average])),0)</f>
        <v>0</v>
      </c>
      <c r="P31" cm="1">
        <f t="array" ref="P31">MAX(IF((ProjectInfoTable[ProjectName]=DiscreteStatsTable[[#This Row],[ProjectName]]),(ProjectInfoTable[ProjectName]=DiscreteStatsTable[[#This Row],[ProjectName]])*ProjectInfoTable[ConfidenceInterval]))</f>
        <v>0.95</v>
      </c>
      <c r="Q31">
        <f>IF(AND(DiscreteStatsTable[[#This Row],[RepsWithStatObserved]]=1,Y31=0),200000000000000000000,IFERROR(_xlfn.T.INV.2T(1 -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1" cm="1">
        <f t="array" ref="R31">MIN(IF((DiscreteStatsTable[GroupByKey]=DiscreteStatsTable[[#This Row],[GroupByKey]]),(DiscreteStatsTable[GroupByKey]=DiscreteStatsTable[[#This Row],[GroupByKey]])*DiscreteStatsTable[Average]))</f>
        <v>0</v>
      </c>
      <c r="S31" cm="1">
        <f t="array" ref="S31">MAX(IF((DiscreteStatsTable[GroupByKey]=DiscreteStatsTable[[#This Row],[GroupByKey]]),(DiscreteStatsTable[GroupByKey]=DiscreteStatsTable[[#This Row],[GroupByKey]])*DiscreteStatsTable[Average]))</f>
        <v>0</v>
      </c>
      <c r="T31" cm="1">
        <f t="array" ref="T31">MIN(IF((DiscreteStatsTable[GroupByKey]=DiscreteStatsTable[[#This Row],[GroupByKey]]),(DiscreteStatsTable[GroupByKey]=DiscreteStatsTable[[#This Row],[GroupByKey]])*DiscreteStatsTable[Minimum]))</f>
        <v>0</v>
      </c>
      <c r="U31" cm="1">
        <f t="array" ref="U31">MAX(IF((DiscreteStatsTable[GroupByKey]=DiscreteStatsTable[[#This Row],[GroupByKey]]),(DiscreteStatsTable[GroupByKey]=DiscreteStatsTable[[#This Row],[GroupByKey]])*DiscreteStatsTable[Maximum]))</f>
        <v>0</v>
      </c>
      <c r="V31" cm="1">
        <f t="array" ref="V31">IFERROR(AVERAGE(IF((DiscreteStatsTable[GroupByKey]=DiscreteStatsTable[[#This Row],[GroupByKey]]),(DiscreteStatsTable[GroupByKey]=DiscreteStatsTable[[#This Row],[GroupByKey]])*DiscreteStatsTable[NumberObservations])),0)</f>
        <v>5994.2</v>
      </c>
      <c r="W31">
        <f>IF((DiscreteStatsTable[[#This Row],[RepsRequested]]&gt;1),DiscreteStatsTable[[#This Row],[HalfWidth]],DiscreteStatsTable[[#This Row],[BatchMeansHalfWidth]])</f>
        <v>0</v>
      </c>
      <c r="X31" cm="1">
        <f t="array" ref="X31">COUNT(IF((DiscreteStatsTable[GroupByKey]=DiscreteStatsTable[[#This Row],[GroupByKey]]),(DiscreteStatsTable[GroupByKey]=DiscreteStatsTable[[#This Row],[GroupByKey]])*DiscreteStatsTable[Replication]))</f>
        <v>5</v>
      </c>
      <c r="Y31">
        <f>IF(DiscreteStatsTable[[#This Row],[RepsRequested]]=DiscreteStatsTable[[#This Row],[RepsWithStatObserved]],1,0)</f>
        <v>1</v>
      </c>
    </row>
    <row r="32" spans="1:25" x14ac:dyDescent="0.3"/>
    <row r="33" x14ac:dyDescent="0.3"/>
    <row r="34" x14ac:dyDescent="0.3"/>
    <row r="35" x14ac:dyDescent="0.3"/>
    <row r="36" x14ac:dyDescent="0.3"/>
    <row r="37" x14ac:dyDescent="0.3"/>
    <row r="38" x14ac:dyDescent="0.3"/>
    <row r="39" x14ac:dyDescent="0.3"/>
    <row r="40" x14ac:dyDescent="0.3"/>
    <row r="41" x14ac:dyDescent="0.3"/>
    <row r="42" x14ac:dyDescent="0.3"/>
    <row r="43" x14ac:dyDescent="0.3"/>
    <row r="44" x14ac:dyDescent="0.3"/>
    <row r="45" x14ac:dyDescent="0.3"/>
    <row r="46" x14ac:dyDescent="0.3"/>
    <row r="47" x14ac:dyDescent="0.3"/>
    <row r="48" x14ac:dyDescent="0.3"/>
    <row r="49" x14ac:dyDescent="0.3"/>
    <row r="50" x14ac:dyDescent="0.3"/>
    <row r="51" x14ac:dyDescent="0.3"/>
    <row r="52" x14ac:dyDescent="0.3"/>
    <row r="53" x14ac:dyDescent="0.3"/>
    <row r="54" x14ac:dyDescent="0.3"/>
    <row r="55" x14ac:dyDescent="0.3"/>
    <row r="56" x14ac:dyDescent="0.3"/>
    <row r="57" x14ac:dyDescent="0.3"/>
    <row r="58" x14ac:dyDescent="0.3"/>
    <row r="59" x14ac:dyDescent="0.3"/>
    <row r="60" x14ac:dyDescent="0.3"/>
    <row r="61" x14ac:dyDescent="0.3"/>
  </sheetData>
  <phoneticPr fontId="2" type="noConversion"/>
  <conditionalFormatting sqref="H2:H31 Q2:Q31">
    <cfRule type="expression" dxfId="20" priority="23">
      <formula>H2=200000000000000000000</formula>
    </cfRule>
  </conditionalFormatting>
  <conditionalFormatting sqref="H2:H31">
    <cfRule type="expression" dxfId="19" priority="21">
      <formula>H2=300000000000000000000</formula>
    </cfRule>
  </conditionalFormatting>
  <conditionalFormatting sqref="L2:Y31">
    <cfRule type="expression" dxfId="18" priority="19">
      <formula>MOD(ROW(),2)=0</formula>
    </cfRule>
  </conditionalFormatting>
  <conditionalFormatting sqref="Y2:Y31">
    <cfRule type="expression" dxfId="17" priority="14">
      <formula>Y2=0</formula>
    </cfRule>
    <cfRule type="expression" dxfId="16" priority="16">
      <formula>Y2=1</formula>
    </cfRule>
  </conditionalFormatting>
  <conditionalFormatting sqref="Y3:Y31">
    <cfRule type="expression" dxfId="15" priority="15">
      <formula>Y3=1</formula>
    </cfRule>
  </conditionalFormatting>
  <conditionalFormatting sqref="W2:W31">
    <cfRule type="expression" dxfId="14" priority="6">
      <formula>W2=300000000000000000000</formula>
    </cfRule>
    <cfRule type="expression" dxfId="13" priority="7">
      <formula>W2=200000000000000000000</formula>
    </cfRule>
  </conditionalFormatting>
  <conditionalFormatting sqref="Q2:Q31 W2:W31">
    <cfRule type="expression" dxfId="12" priority="2">
      <formula>Q2=400000000000000000000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3E66E-8E77-4854-8383-E730BA7F079E}">
  <sheetPr codeName="Sheet12"/>
  <dimension ref="A1:U11"/>
  <sheetViews>
    <sheetView workbookViewId="0">
      <selection activeCell="A2" sqref="A2:L11"/>
    </sheetView>
  </sheetViews>
  <sheetFormatPr defaultRowHeight="14" x14ac:dyDescent="0.3"/>
  <cols>
    <col min="1" max="1" width="15.1640625" bestFit="1" customWidth="1"/>
    <col min="2" max="2" width="21.58203125" bestFit="1" customWidth="1"/>
    <col min="3" max="3" width="12.6640625" bestFit="1" customWidth="1"/>
    <col min="4" max="4" width="8.1640625" bestFit="1" customWidth="1"/>
    <col min="5" max="5" width="7.25" bestFit="1" customWidth="1"/>
    <col min="6" max="6" width="8.9140625" bestFit="1" customWidth="1"/>
    <col min="7" max="7" width="12.33203125" bestFit="1" customWidth="1"/>
    <col min="8" max="8" width="22.5" bestFit="1" customWidth="1"/>
    <col min="9" max="9" width="11.25" bestFit="1" customWidth="1"/>
    <col min="10" max="10" width="11.5" bestFit="1" customWidth="1"/>
    <col min="11" max="11" width="19.58203125" bestFit="1" customWidth="1"/>
    <col min="12" max="12" width="11.25" bestFit="1" customWidth="1"/>
    <col min="13" max="13" width="26.5" bestFit="1" customWidth="1"/>
    <col min="14" max="14" width="16.4140625" bestFit="1" customWidth="1"/>
    <col min="15" max="15" width="19.5" bestFit="1" customWidth="1"/>
    <col min="16" max="16" width="17.5" bestFit="1" customWidth="1"/>
    <col min="17" max="17" width="19.5" bestFit="1" customWidth="1"/>
    <col min="18" max="18" width="12.33203125" bestFit="1" customWidth="1"/>
    <col min="19" max="19" width="18.5" bestFit="1" customWidth="1"/>
    <col min="20" max="20" width="18.83203125" bestFit="1" customWidth="1"/>
    <col min="21" max="21" width="20.08203125" bestFit="1" customWidth="1"/>
    <col min="22" max="22" width="20" bestFit="1" customWidth="1"/>
  </cols>
  <sheetData>
    <row r="1" spans="1:21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9</v>
      </c>
      <c r="L1" t="s">
        <v>65</v>
      </c>
      <c r="M1" t="s">
        <v>24</v>
      </c>
      <c r="N1" t="s">
        <v>60</v>
      </c>
      <c r="O1" t="s">
        <v>30</v>
      </c>
      <c r="P1" t="s">
        <v>31</v>
      </c>
      <c r="Q1" t="s">
        <v>35</v>
      </c>
      <c r="R1" t="s">
        <v>44</v>
      </c>
      <c r="S1" t="s">
        <v>32</v>
      </c>
      <c r="T1" t="s">
        <v>33</v>
      </c>
      <c r="U1" t="s">
        <v>46</v>
      </c>
    </row>
    <row r="2" spans="1:21" x14ac:dyDescent="0.3">
      <c r="A2" t="s">
        <v>66</v>
      </c>
      <c r="B2" t="s">
        <v>69</v>
      </c>
      <c r="C2">
        <v>1</v>
      </c>
      <c r="D2" t="s">
        <v>70</v>
      </c>
      <c r="E2" t="s">
        <v>78</v>
      </c>
      <c r="F2" t="s">
        <v>72</v>
      </c>
      <c r="G2">
        <v>0.70104016228653798</v>
      </c>
      <c r="H2">
        <v>4.2651414462296601E-3</v>
      </c>
      <c r="I2">
        <v>0</v>
      </c>
      <c r="J2">
        <v>2</v>
      </c>
      <c r="K2">
        <v>1</v>
      </c>
      <c r="L2">
        <v>0</v>
      </c>
      <c r="M2" t="str">
        <f>ContinuousStatsTable[[#This Row],[ProjectName]]&amp;ContinuousStatsTable[[#This Row],[Name]]&amp;ContinuousStatsTable[[#This Row],[Type]]&amp;ContinuousStatsTable[[#This Row],[Source]]</f>
        <v>Unnamed ProjectPartWIPEntity</v>
      </c>
      <c r="N2" cm="1">
        <f t="array" ref="N2">MAX(IF((ProjectInfoTable[ProjectName]=ContinuousStatsTable[[#This Row],[ProjectName]]),(ProjectInfoTable[ProjectName]=ContinuousStatsTable[[#This Row],[ProjectName]])*ProjectInfoTable[NumberOfReplications]))</f>
        <v>5</v>
      </c>
      <c r="O2" cm="1">
        <f t="array" ref="O2">IFERROR(AVERAGE(IF((ContinuousStatsTable[GroupByKey]=ContinuousStatsTable[[#This Row],[GroupByKey]]),(ContinuousStatsTable[GroupByKey]=ContinuousStatsTable[[#This Row],[GroupByKey]])*ContinuousStatsTable[Average])),0)</f>
        <v>0.70107130518471239</v>
      </c>
      <c r="P2" cm="1">
        <f t="array" ref="P2">IFERROR(_xlfn.STDEV.S(IF((ContinuousStatsTable[GroupByKey]=ContinuousStatsTable[[#This Row],[GroupByKey]]),(ContinuousStatsTable[GroupByKey]=ContinuousStatsTable[[#This Row],[GroupByKey]])*ContinuousStatsTable[Average])),0)</f>
        <v>1.9965792445353014E-3</v>
      </c>
      <c r="Q2" cm="1">
        <f t="array" ref="Q2">MAX(IF((ProjectInfoTable[ProjectName]=ContinuousStatsTable[[#This Row],[ProjectName]]),(ProjectInfoTable[ProjectName]=ContinuousStatsTable[[#This Row],[ProjectName]])*ProjectInfoTable[ConfidenceInterval]))</f>
        <v>0.95</v>
      </c>
      <c r="R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2.4790805675003525E-3</v>
      </c>
      <c r="S2" cm="1">
        <f t="array" ref="S2">MIN(IF((ContinuousStatsTable[GroupByKey]=ContinuousStatsTable[[#This Row],[GroupByKey]]),(ContinuousStatsTable[GroupByKey]=ContinuousStatsTable[[#This Row],[GroupByKey]])*ContinuousStatsTable[Average]))</f>
        <v>0.69779527147015896</v>
      </c>
      <c r="T2" cm="1">
        <f t="array" ref="T2">MAX(IF((ContinuousStatsTable[GroupByKey]=ContinuousStatsTable[[#This Row],[GroupByKey]]),(ContinuousStatsTable[GroupByKey]=ContinuousStatsTable[[#This Row],[GroupByKey]])*ContinuousStatsTable[Average]))</f>
        <v>0.70268495822544996</v>
      </c>
      <c r="U2">
        <f>IF((ContinuousStatsTable[[#This Row],[RepsRequested]]&gt;1),ContinuousStatsTable[[#This Row],[HalfWidth]],ContinuousStatsTable[[#This Row],[BatchMeansHalfWidth]])</f>
        <v>2.4790805675003525E-3</v>
      </c>
    </row>
    <row r="3" spans="1:21" x14ac:dyDescent="0.3">
      <c r="A3" t="s">
        <v>66</v>
      </c>
      <c r="B3" t="s">
        <v>69</v>
      </c>
      <c r="C3">
        <v>2</v>
      </c>
      <c r="D3" t="s">
        <v>70</v>
      </c>
      <c r="E3" t="s">
        <v>78</v>
      </c>
      <c r="F3" t="s">
        <v>72</v>
      </c>
      <c r="G3">
        <v>0.70115188789258198</v>
      </c>
      <c r="H3">
        <v>4.6594538723041604E-3</v>
      </c>
      <c r="I3">
        <v>0</v>
      </c>
      <c r="J3">
        <v>2</v>
      </c>
      <c r="K3">
        <v>1</v>
      </c>
      <c r="L3">
        <v>0</v>
      </c>
      <c r="M3" t="str">
        <f>ContinuousStatsTable[[#This Row],[ProjectName]]&amp;ContinuousStatsTable[[#This Row],[Name]]&amp;ContinuousStatsTable[[#This Row],[Type]]&amp;ContinuousStatsTable[[#This Row],[Source]]</f>
        <v>Unnamed ProjectPartWIPEntity</v>
      </c>
      <c r="N3" cm="1">
        <f t="array" ref="N3">MAX(IF((ProjectInfoTable[ProjectName]=ContinuousStatsTable[[#This Row],[ProjectName]]),(ProjectInfoTable[ProjectName]=ContinuousStatsTable[[#This Row],[ProjectName]])*ProjectInfoTable[NumberOfReplications]))</f>
        <v>5</v>
      </c>
      <c r="O3" cm="1">
        <f t="array" ref="O3">IFERROR(AVERAGE(IF((ContinuousStatsTable[GroupByKey]=ContinuousStatsTable[[#This Row],[GroupByKey]]),(ContinuousStatsTable[GroupByKey]=ContinuousStatsTable[[#This Row],[GroupByKey]])*ContinuousStatsTable[Average])),0)</f>
        <v>0.70107130518471239</v>
      </c>
      <c r="P3" cm="1">
        <f t="array" ref="P3">IFERROR(_xlfn.STDEV.S(IF((ContinuousStatsTable[GroupByKey]=ContinuousStatsTable[[#This Row],[GroupByKey]]),(ContinuousStatsTable[GroupByKey]=ContinuousStatsTable[[#This Row],[GroupByKey]])*ContinuousStatsTable[Average])),0)</f>
        <v>1.9965792445353014E-3</v>
      </c>
      <c r="Q3" cm="1">
        <f t="array" ref="Q3">MAX(IF((ProjectInfoTable[ProjectName]=ContinuousStatsTable[[#This Row],[ProjectName]]),(ProjectInfoTable[ProjectName]=ContinuousStatsTable[[#This Row],[ProjectName]])*ProjectInfoTable[ConfidenceInterval]))</f>
        <v>0.95</v>
      </c>
      <c r="R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2.4790805675003525E-3</v>
      </c>
      <c r="S3" cm="1">
        <f t="array" ref="S3">MIN(IF((ContinuousStatsTable[GroupByKey]=ContinuousStatsTable[[#This Row],[GroupByKey]]),(ContinuousStatsTable[GroupByKey]=ContinuousStatsTable[[#This Row],[GroupByKey]])*ContinuousStatsTable[Average]))</f>
        <v>0.69779527147015896</v>
      </c>
      <c r="T3" cm="1">
        <f t="array" ref="T3">MAX(IF((ContinuousStatsTable[GroupByKey]=ContinuousStatsTable[[#This Row],[GroupByKey]]),(ContinuousStatsTable[GroupByKey]=ContinuousStatsTable[[#This Row],[GroupByKey]])*ContinuousStatsTable[Average]))</f>
        <v>0.70268495822544996</v>
      </c>
      <c r="U3">
        <f>IF((ContinuousStatsTable[[#This Row],[RepsRequested]]&gt;1),ContinuousStatsTable[[#This Row],[HalfWidth]],ContinuousStatsTable[[#This Row],[BatchMeansHalfWidth]])</f>
        <v>2.4790805675003525E-3</v>
      </c>
    </row>
    <row r="4" spans="1:21" x14ac:dyDescent="0.3">
      <c r="A4" t="s">
        <v>66</v>
      </c>
      <c r="B4" t="s">
        <v>69</v>
      </c>
      <c r="C4">
        <v>3</v>
      </c>
      <c r="D4" t="s">
        <v>70</v>
      </c>
      <c r="E4" t="s">
        <v>78</v>
      </c>
      <c r="F4" t="s">
        <v>72</v>
      </c>
      <c r="G4">
        <v>0.70268424604883295</v>
      </c>
      <c r="H4">
        <v>4.7761142140364497E-3</v>
      </c>
      <c r="I4">
        <v>0</v>
      </c>
      <c r="J4">
        <v>2</v>
      </c>
      <c r="K4">
        <v>1</v>
      </c>
      <c r="L4">
        <v>0</v>
      </c>
      <c r="M4" t="str">
        <f>ContinuousStatsTable[[#This Row],[ProjectName]]&amp;ContinuousStatsTable[[#This Row],[Name]]&amp;ContinuousStatsTable[[#This Row],[Type]]&amp;ContinuousStatsTable[[#This Row],[Source]]</f>
        <v>Unnamed ProjectPartWIPEntity</v>
      </c>
      <c r="N4" cm="1">
        <f t="array" ref="N4">MAX(IF((ProjectInfoTable[ProjectName]=ContinuousStatsTable[[#This Row],[ProjectName]]),(ProjectInfoTable[ProjectName]=ContinuousStatsTable[[#This Row],[ProjectName]])*ProjectInfoTable[NumberOfReplications]))</f>
        <v>5</v>
      </c>
      <c r="O4" cm="1">
        <f t="array" ref="O4">IFERROR(AVERAGE(IF((ContinuousStatsTable[GroupByKey]=ContinuousStatsTable[[#This Row],[GroupByKey]]),(ContinuousStatsTable[GroupByKey]=ContinuousStatsTable[[#This Row],[GroupByKey]])*ContinuousStatsTable[Average])),0)</f>
        <v>0.70107130518471239</v>
      </c>
      <c r="P4" cm="1">
        <f t="array" ref="P4">IFERROR(_xlfn.STDEV.S(IF((ContinuousStatsTable[GroupByKey]=ContinuousStatsTable[[#This Row],[GroupByKey]]),(ContinuousStatsTable[GroupByKey]=ContinuousStatsTable[[#This Row],[GroupByKey]])*ContinuousStatsTable[Average])),0)</f>
        <v>1.9965792445353014E-3</v>
      </c>
      <c r="Q4" cm="1">
        <f t="array" ref="Q4">MAX(IF((ProjectInfoTable[ProjectName]=ContinuousStatsTable[[#This Row],[ProjectName]]),(ProjectInfoTable[ProjectName]=ContinuousStatsTable[[#This Row],[ProjectName]])*ProjectInfoTable[ConfidenceInterval]))</f>
        <v>0.95</v>
      </c>
      <c r="R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2.4790805675003525E-3</v>
      </c>
      <c r="S4" cm="1">
        <f t="array" ref="S4">MIN(IF((ContinuousStatsTable[GroupByKey]=ContinuousStatsTable[[#This Row],[GroupByKey]]),(ContinuousStatsTable[GroupByKey]=ContinuousStatsTable[[#This Row],[GroupByKey]])*ContinuousStatsTable[Average]))</f>
        <v>0.69779527147015896</v>
      </c>
      <c r="T4" cm="1">
        <f t="array" ref="T4">MAX(IF((ContinuousStatsTable[GroupByKey]=ContinuousStatsTable[[#This Row],[GroupByKey]]),(ContinuousStatsTable[GroupByKey]=ContinuousStatsTable[[#This Row],[GroupByKey]])*ContinuousStatsTable[Average]))</f>
        <v>0.70268495822544996</v>
      </c>
      <c r="U4">
        <f>IF((ContinuousStatsTable[[#This Row],[RepsRequested]]&gt;1),ContinuousStatsTable[[#This Row],[HalfWidth]],ContinuousStatsTable[[#This Row],[BatchMeansHalfWidth]])</f>
        <v>2.4790805675003525E-3</v>
      </c>
    </row>
    <row r="5" spans="1:21" x14ac:dyDescent="0.3">
      <c r="A5" t="s">
        <v>66</v>
      </c>
      <c r="B5" t="s">
        <v>69</v>
      </c>
      <c r="C5">
        <v>4</v>
      </c>
      <c r="D5" t="s">
        <v>70</v>
      </c>
      <c r="E5" t="s">
        <v>78</v>
      </c>
      <c r="F5" t="s">
        <v>72</v>
      </c>
      <c r="G5">
        <v>0.70268495822544996</v>
      </c>
      <c r="H5">
        <v>5.2007279982819298E-3</v>
      </c>
      <c r="I5">
        <v>0</v>
      </c>
      <c r="J5">
        <v>2</v>
      </c>
      <c r="K5">
        <v>1</v>
      </c>
      <c r="L5">
        <v>0</v>
      </c>
      <c r="M5" t="str">
        <f>ContinuousStatsTable[[#This Row],[ProjectName]]&amp;ContinuousStatsTable[[#This Row],[Name]]&amp;ContinuousStatsTable[[#This Row],[Type]]&amp;ContinuousStatsTable[[#This Row],[Source]]</f>
        <v>Unnamed ProjectPartWIPEntity</v>
      </c>
      <c r="N5" cm="1">
        <f t="array" ref="N5">MAX(IF((ProjectInfoTable[ProjectName]=ContinuousStatsTable[[#This Row],[ProjectName]]),(ProjectInfoTable[ProjectName]=ContinuousStatsTable[[#This Row],[ProjectName]])*ProjectInfoTable[NumberOfReplications]))</f>
        <v>5</v>
      </c>
      <c r="O5" cm="1">
        <f t="array" ref="O5">IFERROR(AVERAGE(IF((ContinuousStatsTable[GroupByKey]=ContinuousStatsTable[[#This Row],[GroupByKey]]),(ContinuousStatsTable[GroupByKey]=ContinuousStatsTable[[#This Row],[GroupByKey]])*ContinuousStatsTable[Average])),0)</f>
        <v>0.70107130518471239</v>
      </c>
      <c r="P5" cm="1">
        <f t="array" ref="P5">IFERROR(_xlfn.STDEV.S(IF((ContinuousStatsTable[GroupByKey]=ContinuousStatsTable[[#This Row],[GroupByKey]]),(ContinuousStatsTable[GroupByKey]=ContinuousStatsTable[[#This Row],[GroupByKey]])*ContinuousStatsTable[Average])),0)</f>
        <v>1.9965792445353014E-3</v>
      </c>
      <c r="Q5" cm="1">
        <f t="array" ref="Q5">MAX(IF((ProjectInfoTable[ProjectName]=ContinuousStatsTable[[#This Row],[ProjectName]]),(ProjectInfoTable[ProjectName]=ContinuousStatsTable[[#This Row],[ProjectName]])*ProjectInfoTable[ConfidenceInterval]))</f>
        <v>0.95</v>
      </c>
      <c r="R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2.4790805675003525E-3</v>
      </c>
      <c r="S5" cm="1">
        <f t="array" ref="S5">MIN(IF((ContinuousStatsTable[GroupByKey]=ContinuousStatsTable[[#This Row],[GroupByKey]]),(ContinuousStatsTable[GroupByKey]=ContinuousStatsTable[[#This Row],[GroupByKey]])*ContinuousStatsTable[Average]))</f>
        <v>0.69779527147015896</v>
      </c>
      <c r="T5" cm="1">
        <f t="array" ref="T5">MAX(IF((ContinuousStatsTable[GroupByKey]=ContinuousStatsTable[[#This Row],[GroupByKey]]),(ContinuousStatsTable[GroupByKey]=ContinuousStatsTable[[#This Row],[GroupByKey]])*ContinuousStatsTable[Average]))</f>
        <v>0.70268495822544996</v>
      </c>
      <c r="U5">
        <f>IF((ContinuousStatsTable[[#This Row],[RepsRequested]]&gt;1),ContinuousStatsTable[[#This Row],[HalfWidth]],ContinuousStatsTable[[#This Row],[BatchMeansHalfWidth]])</f>
        <v>2.4790805675003525E-3</v>
      </c>
    </row>
    <row r="6" spans="1:21" x14ac:dyDescent="0.3">
      <c r="A6" t="s">
        <v>66</v>
      </c>
      <c r="B6" t="s">
        <v>69</v>
      </c>
      <c r="C6">
        <v>5</v>
      </c>
      <c r="D6" t="s">
        <v>70</v>
      </c>
      <c r="E6" t="s">
        <v>78</v>
      </c>
      <c r="F6" t="s">
        <v>72</v>
      </c>
      <c r="G6">
        <v>0.69779527147015896</v>
      </c>
      <c r="H6">
        <v>5.3494909267181798E-3</v>
      </c>
      <c r="I6">
        <v>0</v>
      </c>
      <c r="J6">
        <v>2</v>
      </c>
      <c r="K6">
        <v>1</v>
      </c>
      <c r="L6">
        <v>0</v>
      </c>
      <c r="M6" t="str">
        <f>ContinuousStatsTable[[#This Row],[ProjectName]]&amp;ContinuousStatsTable[[#This Row],[Name]]&amp;ContinuousStatsTable[[#This Row],[Type]]&amp;ContinuousStatsTable[[#This Row],[Source]]</f>
        <v>Unnamed ProjectPartWIPEntity</v>
      </c>
      <c r="N6" cm="1">
        <f t="array" ref="N6">MAX(IF((ProjectInfoTable[ProjectName]=ContinuousStatsTable[[#This Row],[ProjectName]]),(ProjectInfoTable[ProjectName]=ContinuousStatsTable[[#This Row],[ProjectName]])*ProjectInfoTable[NumberOfReplications]))</f>
        <v>5</v>
      </c>
      <c r="O6" cm="1">
        <f t="array" ref="O6">IFERROR(AVERAGE(IF((ContinuousStatsTable[GroupByKey]=ContinuousStatsTable[[#This Row],[GroupByKey]]),(ContinuousStatsTable[GroupByKey]=ContinuousStatsTable[[#This Row],[GroupByKey]])*ContinuousStatsTable[Average])),0)</f>
        <v>0.70107130518471239</v>
      </c>
      <c r="P6" cm="1">
        <f t="array" ref="P6">IFERROR(_xlfn.STDEV.S(IF((ContinuousStatsTable[GroupByKey]=ContinuousStatsTable[[#This Row],[GroupByKey]]),(ContinuousStatsTable[GroupByKey]=ContinuousStatsTable[[#This Row],[GroupByKey]])*ContinuousStatsTable[Average])),0)</f>
        <v>1.9965792445353014E-3</v>
      </c>
      <c r="Q6" cm="1">
        <f t="array" ref="Q6">MAX(IF((ProjectInfoTable[ProjectName]=ContinuousStatsTable[[#This Row],[ProjectName]]),(ProjectInfoTable[ProjectName]=ContinuousStatsTable[[#This Row],[ProjectName]])*ProjectInfoTable[ConfidenceInterval]))</f>
        <v>0.95</v>
      </c>
      <c r="R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2.4790805675003525E-3</v>
      </c>
      <c r="S6" cm="1">
        <f t="array" ref="S6">MIN(IF((ContinuousStatsTable[GroupByKey]=ContinuousStatsTable[[#This Row],[GroupByKey]]),(ContinuousStatsTable[GroupByKey]=ContinuousStatsTable[[#This Row],[GroupByKey]])*ContinuousStatsTable[Average]))</f>
        <v>0.69779527147015896</v>
      </c>
      <c r="T6" cm="1">
        <f t="array" ref="T6">MAX(IF((ContinuousStatsTable[GroupByKey]=ContinuousStatsTable[[#This Row],[GroupByKey]]),(ContinuousStatsTable[GroupByKey]=ContinuousStatsTable[[#This Row],[GroupByKey]])*ContinuousStatsTable[Average]))</f>
        <v>0.70268495822544996</v>
      </c>
      <c r="U6">
        <f>IF((ContinuousStatsTable[[#This Row],[RepsRequested]]&gt;1),ContinuousStatsTable[[#This Row],[HalfWidth]],ContinuousStatsTable[[#This Row],[BatchMeansHalfWidth]])</f>
        <v>2.4790805675003525E-3</v>
      </c>
    </row>
    <row r="7" spans="1:21" x14ac:dyDescent="0.3"/>
    <row r="8" spans="1:21" x14ac:dyDescent="0.3"/>
    <row r="9" spans="1:21" x14ac:dyDescent="0.3"/>
    <row r="10" spans="1:21" x14ac:dyDescent="0.3"/>
    <row r="11" spans="1:21" x14ac:dyDescent="0.3"/>
  </sheetData>
  <phoneticPr fontId="2" type="noConversion"/>
  <conditionalFormatting sqref="H2:H6">
    <cfRule type="expression" dxfId="11" priority="9">
      <formula>H2=200000000000000000000</formula>
    </cfRule>
  </conditionalFormatting>
  <conditionalFormatting sqref="H2:H6">
    <cfRule type="expression" dxfId="10" priority="7">
      <formula>H2=300000000000000000000</formula>
    </cfRule>
  </conditionalFormatting>
  <conditionalFormatting sqref="M2:U6">
    <cfRule type="expression" dxfId="9" priority="5">
      <formula>MOD(ROW(),2)=0</formula>
    </cfRule>
  </conditionalFormatting>
  <conditionalFormatting sqref="U2:U6">
    <cfRule type="expression" dxfId="8" priority="3">
      <formula>U2=200000000000000000000</formula>
    </cfRule>
    <cfRule type="expression" dxfId="7" priority="4">
      <formula>U2=300000000000000000000</formula>
    </cfRule>
  </conditionalFormatting>
  <conditionalFormatting sqref="R2:R6 U2:U6">
    <cfRule type="expression" dxfId="6" priority="2">
      <formula>R2=400000000000000000000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54AFB-609A-4DFE-B5AA-43ACDCEDAEE3}">
  <sheetPr codeName="Sheet13"/>
  <dimension ref="A1:O1"/>
  <sheetViews>
    <sheetView workbookViewId="0">
      <selection activeCell="G2" sqref="G2"/>
    </sheetView>
  </sheetViews>
  <sheetFormatPr defaultRowHeight="14" x14ac:dyDescent="0.3"/>
  <cols>
    <col min="1" max="1" width="14.1640625" bestFit="1" customWidth="1"/>
    <col min="2" max="2" width="21.58203125" bestFit="1" customWidth="1"/>
    <col min="3" max="3" width="12.6640625" bestFit="1" customWidth="1"/>
    <col min="4" max="4" width="8.1640625" bestFit="1" customWidth="1"/>
    <col min="5" max="5" width="7.25" bestFit="1" customWidth="1"/>
    <col min="6" max="6" width="8.9140625" bestFit="1" customWidth="1"/>
    <col min="7" max="7" width="16.1640625" bestFit="1" customWidth="1"/>
    <col min="8" max="8" width="13.5" bestFit="1" customWidth="1"/>
    <col min="9" max="9" width="16.4140625" bestFit="1" customWidth="1"/>
    <col min="10" max="10" width="10.08203125" bestFit="1" customWidth="1"/>
    <col min="11" max="11" width="19.1640625" bestFit="1" customWidth="1"/>
    <col min="12" max="12" width="19.5" bestFit="1" customWidth="1"/>
    <col min="13" max="13" width="11.75" bestFit="1" customWidth="1"/>
    <col min="14" max="14" width="11.25" bestFit="1" customWidth="1"/>
    <col min="15" max="15" width="11.5" bestFit="1" customWidth="1"/>
  </cols>
  <sheetData>
    <row r="1" spans="1:15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24</v>
      </c>
      <c r="I1" t="s">
        <v>60</v>
      </c>
      <c r="J1" t="s">
        <v>2</v>
      </c>
      <c r="K1" t="s">
        <v>27</v>
      </c>
      <c r="L1" t="s">
        <v>35</v>
      </c>
      <c r="M1" t="s">
        <v>44</v>
      </c>
      <c r="N1" t="s">
        <v>3</v>
      </c>
      <c r="O1" t="s">
        <v>4</v>
      </c>
    </row>
  </sheetData>
  <phoneticPr fontId="2" type="noConversion"/>
  <conditionalFormatting sqref="H2:O2">
    <cfRule type="expression" dxfId="5" priority="2">
      <formula>MOD(ROW(),2)=0</formula>
    </cfRule>
  </conditionalFormatting>
  <conditionalFormatting sqref="M2">
    <cfRule type="expression" dxfId="4" priority="1">
      <formula>M2=400000000000000000000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D8D0D-CBB0-4D36-A46D-277151207BFF}">
  <sheetPr codeName="Sheet14"/>
  <dimension ref="A1:P31"/>
  <sheetViews>
    <sheetView workbookViewId="0">
      <selection activeCell="A2" sqref="A2:H31"/>
    </sheetView>
  </sheetViews>
  <sheetFormatPr defaultRowHeight="14" x14ac:dyDescent="0.3"/>
  <cols>
    <col min="1" max="1" width="15.1640625" bestFit="1" customWidth="1"/>
    <col min="2" max="2" width="21.58203125" bestFit="1" customWidth="1"/>
    <col min="3" max="3" width="12.6640625" bestFit="1" customWidth="1"/>
    <col min="4" max="4" width="17.1640625" bestFit="1" customWidth="1"/>
    <col min="5" max="5" width="11.25" bestFit="1" customWidth="1"/>
    <col min="6" max="6" width="8.9140625" bestFit="1" customWidth="1"/>
    <col min="7" max="7" width="16.1640625" bestFit="1" customWidth="1"/>
    <col min="8" max="8" width="11.25" bestFit="1" customWidth="1"/>
    <col min="9" max="9" width="48.58203125" bestFit="1" customWidth="1"/>
    <col min="10" max="10" width="16.4140625" bestFit="1" customWidth="1"/>
    <col min="11" max="11" width="10.08203125" bestFit="1" customWidth="1"/>
    <col min="12" max="12" width="19.1640625" bestFit="1" customWidth="1"/>
    <col min="13" max="13" width="19.5" bestFit="1" customWidth="1"/>
    <col min="14" max="14" width="12.33203125" bestFit="1" customWidth="1"/>
    <col min="15" max="15" width="11.25" bestFit="1" customWidth="1"/>
    <col min="16" max="16" width="11.5" bestFit="1" customWidth="1"/>
  </cols>
  <sheetData>
    <row r="1" spans="1:16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65</v>
      </c>
      <c r="I1" t="s">
        <v>24</v>
      </c>
      <c r="J1" t="s">
        <v>60</v>
      </c>
      <c r="K1" t="s">
        <v>2</v>
      </c>
      <c r="L1" t="s">
        <v>27</v>
      </c>
      <c r="M1" t="s">
        <v>35</v>
      </c>
      <c r="N1" t="s">
        <v>44</v>
      </c>
      <c r="O1" t="s">
        <v>3</v>
      </c>
      <c r="P1" t="s">
        <v>4</v>
      </c>
    </row>
    <row r="2" spans="1:16" x14ac:dyDescent="0.3">
      <c r="A2" t="s">
        <v>66</v>
      </c>
      <c r="B2" t="s">
        <v>69</v>
      </c>
      <c r="C2">
        <v>1</v>
      </c>
      <c r="D2" t="s">
        <v>79</v>
      </c>
      <c r="E2" t="s">
        <v>80</v>
      </c>
      <c r="F2" t="s">
        <v>72</v>
      </c>
      <c r="G2">
        <v>5993</v>
      </c>
      <c r="H2">
        <v>0</v>
      </c>
      <c r="I2" t="str">
        <f>OutputTable[[#This Row],[ProjectName]]&amp;OutputTable[[#This Row],[Name]]&amp;OutputTable[[#This Row],[Type]]&amp;OutputTable[[#This Row],[Source]]</f>
        <v>Unnamed ProjectPart.NumberInNumber InEntity</v>
      </c>
      <c r="J2" cm="1">
        <f t="array" ref="J2">MAX(IF((ProjectInfoTable[ProjectName]=OutputTable[[#This Row],[ProjectName]]),(ProjectInfoTable[ProjectName]=OutputTable[[#This Row],[ProjectName]])*ProjectInfoTable[NumberOfReplications]))</f>
        <v>5</v>
      </c>
      <c r="K2" cm="1">
        <f t="array" ref="K2">IFERROR(AVERAGE(IF((OutputTable[GroupByKey]=OutputTable[[#This Row],[GroupByKey]]),(OutputTable[GroupByKey]=OutputTable[[#This Row],[GroupByKey]])*OutputTable[RecordedValue])),0)</f>
        <v>5994.4</v>
      </c>
      <c r="L2" cm="1">
        <f t="array" ref="L2">IFERROR(_xlfn.STDEV.S(IF((OutputTable[GroupByKey]=OutputTable[[#This Row],[GroupByKey]]),(OutputTable[GroupByKey]=OutputTable[[#This Row],[GroupByKey]])*OutputTable[RecordedValue])),0)</f>
        <v>11.349008767288886</v>
      </c>
      <c r="M2" cm="1">
        <f t="array" ref="M2">MAX(IF((ProjectInfoTable[ProjectName]=OutputTable[[#This Row],[ProjectName]]),(ProjectInfoTable[ProjectName]=OutputTable[[#This Row],[ProjectName]])*ProjectInfoTable[ConfidenceInterval]))</f>
        <v>0.95</v>
      </c>
      <c r="N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14.091655601641488</v>
      </c>
      <c r="O2" cm="1">
        <f t="array" ref="O2">MIN(IF((OutputTable[GroupByKey]=OutputTable[[#This Row],[GroupByKey]]),(OutputTable[GroupByKey]=OutputTable[[#This Row],[GroupByKey]])*OutputTable[RecordedValue]))</f>
        <v>5985</v>
      </c>
      <c r="P2" cm="1">
        <f t="array" ref="P2">MAX(IF((OutputTable[GroupByKey]=OutputTable[[#This Row],[GroupByKey]]),(OutputTable[GroupByKey]=OutputTable[[#This Row],[GroupByKey]])*OutputTable[RecordedValue]))</f>
        <v>6014</v>
      </c>
    </row>
    <row r="3" spans="1:16" x14ac:dyDescent="0.3">
      <c r="A3" t="s">
        <v>66</v>
      </c>
      <c r="B3" t="s">
        <v>69</v>
      </c>
      <c r="C3">
        <v>1</v>
      </c>
      <c r="D3" t="s">
        <v>81</v>
      </c>
      <c r="E3" t="s">
        <v>82</v>
      </c>
      <c r="F3" t="s">
        <v>72</v>
      </c>
      <c r="G3">
        <v>5992</v>
      </c>
      <c r="H3">
        <v>0</v>
      </c>
      <c r="I3" t="str">
        <f>OutputTable[[#This Row],[ProjectName]]&amp;OutputTable[[#This Row],[Name]]&amp;OutputTable[[#This Row],[Type]]&amp;OutputTable[[#This Row],[Source]]</f>
        <v>Unnamed ProjectPart.NumberOutNumber OutEntity</v>
      </c>
      <c r="J3" cm="1">
        <f t="array" ref="J3">MAX(IF((ProjectInfoTable[ProjectName]=OutputTable[[#This Row],[ProjectName]]),(ProjectInfoTable[ProjectName]=OutputTable[[#This Row],[ProjectName]])*ProjectInfoTable[NumberOfReplications]))</f>
        <v>5</v>
      </c>
      <c r="K3" cm="1">
        <f t="array" ref="K3">IFERROR(AVERAGE(IF((OutputTable[GroupByKey]=OutputTable[[#This Row],[GroupByKey]]),(OutputTable[GroupByKey]=OutputTable[[#This Row],[GroupByKey]])*OutputTable[RecordedValue])),0)</f>
        <v>5994.2</v>
      </c>
      <c r="L3" cm="1">
        <f t="array" ref="L3">IFERROR(_xlfn.STDEV.S(IF((OutputTable[GroupByKey]=OutputTable[[#This Row],[GroupByKey]]),(OutputTable[GroupByKey]=OutputTable[[#This Row],[GroupByKey]])*OutputTable[RecordedValue])),0)</f>
        <v>11.388590782006348</v>
      </c>
      <c r="M3" cm="1">
        <f t="array" ref="M3">MAX(IF((ProjectInfoTable[ProjectName]=OutputTable[[#This Row],[ProjectName]]),(ProjectInfoTable[ProjectName]=OutputTable[[#This Row],[ProjectName]])*ProjectInfoTable[ConfidenceInterval]))</f>
        <v>0.95</v>
      </c>
      <c r="N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14.140803164292532</v>
      </c>
      <c r="O3" cm="1">
        <f t="array" ref="O3">MIN(IF((OutputTable[GroupByKey]=OutputTable[[#This Row],[GroupByKey]]),(OutputTable[GroupByKey]=OutputTable[[#This Row],[GroupByKey]])*OutputTable[RecordedValue]))</f>
        <v>5985</v>
      </c>
      <c r="P3" cm="1">
        <f t="array" ref="P3">MAX(IF((OutputTable[GroupByKey]=OutputTable[[#This Row],[GroupByKey]]),(OutputTable[GroupByKey]=OutputTable[[#This Row],[GroupByKey]])*OutputTable[RecordedValue]))</f>
        <v>6014</v>
      </c>
    </row>
    <row r="4" spans="1:16" x14ac:dyDescent="0.3">
      <c r="A4" t="s">
        <v>66</v>
      </c>
      <c r="B4" t="s">
        <v>69</v>
      </c>
      <c r="C4">
        <v>1</v>
      </c>
      <c r="D4" t="s">
        <v>83</v>
      </c>
      <c r="E4" t="s">
        <v>82</v>
      </c>
      <c r="F4" t="s">
        <v>84</v>
      </c>
      <c r="G4">
        <v>5992</v>
      </c>
      <c r="H4">
        <v>0</v>
      </c>
      <c r="I4" t="str">
        <f>OutputTable[[#This Row],[ProjectName]]&amp;OutputTable[[#This Row],[Name]]&amp;OutputTable[[#This Row],[Type]]&amp;OutputTable[[#This Row],[Source]]</f>
        <v>Unnamed ProjectSystem.NumberOutNumber OutSystem</v>
      </c>
      <c r="J4" cm="1">
        <f t="array" ref="J4">MAX(IF((ProjectInfoTable[ProjectName]=OutputTable[[#This Row],[ProjectName]]),(ProjectInfoTable[ProjectName]=OutputTable[[#This Row],[ProjectName]])*ProjectInfoTable[NumberOfReplications]))</f>
        <v>5</v>
      </c>
      <c r="K4" cm="1">
        <f t="array" ref="K4">IFERROR(AVERAGE(IF((OutputTable[GroupByKey]=OutputTable[[#This Row],[GroupByKey]]),(OutputTable[GroupByKey]=OutputTable[[#This Row],[GroupByKey]])*OutputTable[RecordedValue])),0)</f>
        <v>5994.2</v>
      </c>
      <c r="L4" cm="1">
        <f t="array" ref="L4">IFERROR(_xlfn.STDEV.S(IF((OutputTable[GroupByKey]=OutputTable[[#This Row],[GroupByKey]]),(OutputTable[GroupByKey]=OutputTable[[#This Row],[GroupByKey]])*OutputTable[RecordedValue])),0)</f>
        <v>11.388590782006348</v>
      </c>
      <c r="M4" cm="1">
        <f t="array" ref="M4">MAX(IF((ProjectInfoTable[ProjectName]=OutputTable[[#This Row],[ProjectName]]),(ProjectInfoTable[ProjectName]=OutputTable[[#This Row],[ProjectName]])*ProjectInfoTable[ConfidenceInterval]))</f>
        <v>0.95</v>
      </c>
      <c r="N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14.140803164292532</v>
      </c>
      <c r="O4" cm="1">
        <f t="array" ref="O4">MIN(IF((OutputTable[GroupByKey]=OutputTable[[#This Row],[GroupByKey]]),(OutputTable[GroupByKey]=OutputTable[[#This Row],[GroupByKey]])*OutputTable[RecordedValue]))</f>
        <v>5985</v>
      </c>
      <c r="P4" cm="1">
        <f t="array" ref="P4">MAX(IF((OutputTable[GroupByKey]=OutputTable[[#This Row],[GroupByKey]]),(OutputTable[GroupByKey]=OutputTable[[#This Row],[GroupByKey]])*OutputTable[RecordedValue]))</f>
        <v>6014</v>
      </c>
    </row>
    <row r="5" spans="1:16" x14ac:dyDescent="0.3">
      <c r="A5" t="s">
        <v>66</v>
      </c>
      <c r="B5" t="s">
        <v>69</v>
      </c>
      <c r="C5">
        <v>2</v>
      </c>
      <c r="D5" t="s">
        <v>79</v>
      </c>
      <c r="E5" t="s">
        <v>80</v>
      </c>
      <c r="F5" t="s">
        <v>72</v>
      </c>
      <c r="G5">
        <v>5989</v>
      </c>
      <c r="H5">
        <v>0</v>
      </c>
      <c r="I5" t="str">
        <f>OutputTable[[#This Row],[ProjectName]]&amp;OutputTable[[#This Row],[Name]]&amp;OutputTable[[#This Row],[Type]]&amp;OutputTable[[#This Row],[Source]]</f>
        <v>Unnamed ProjectPart.NumberInNumber InEntity</v>
      </c>
      <c r="J5" cm="1">
        <f t="array" ref="J5">MAX(IF((ProjectInfoTable[ProjectName]=OutputTable[[#This Row],[ProjectName]]),(ProjectInfoTable[ProjectName]=OutputTable[[#This Row],[ProjectName]])*ProjectInfoTable[NumberOfReplications]))</f>
        <v>5</v>
      </c>
      <c r="K5" cm="1">
        <f t="array" ref="K5">IFERROR(AVERAGE(IF((OutputTable[GroupByKey]=OutputTable[[#This Row],[GroupByKey]]),(OutputTable[GroupByKey]=OutputTable[[#This Row],[GroupByKey]])*OutputTable[RecordedValue])),0)</f>
        <v>5994.4</v>
      </c>
      <c r="L5" cm="1">
        <f t="array" ref="L5">IFERROR(_xlfn.STDEV.S(IF((OutputTable[GroupByKey]=OutputTable[[#This Row],[GroupByKey]]),(OutputTable[GroupByKey]=OutputTable[[#This Row],[GroupByKey]])*OutputTable[RecordedValue])),0)</f>
        <v>11.349008767288886</v>
      </c>
      <c r="M5" cm="1">
        <f t="array" ref="M5">MAX(IF((ProjectInfoTable[ProjectName]=OutputTable[[#This Row],[ProjectName]]),(ProjectInfoTable[ProjectName]=OutputTable[[#This Row],[ProjectName]])*ProjectInfoTable[ConfidenceInterval]))</f>
        <v>0.95</v>
      </c>
      <c r="N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14.091655601641488</v>
      </c>
      <c r="O5" cm="1">
        <f t="array" ref="O5">MIN(IF((OutputTable[GroupByKey]=OutputTable[[#This Row],[GroupByKey]]),(OutputTable[GroupByKey]=OutputTable[[#This Row],[GroupByKey]])*OutputTable[RecordedValue]))</f>
        <v>5985</v>
      </c>
      <c r="P5" cm="1">
        <f t="array" ref="P5">MAX(IF((OutputTable[GroupByKey]=OutputTable[[#This Row],[GroupByKey]]),(OutputTable[GroupByKey]=OutputTable[[#This Row],[GroupByKey]])*OutputTable[RecordedValue]))</f>
        <v>6014</v>
      </c>
    </row>
    <row r="6" spans="1:16" x14ac:dyDescent="0.3">
      <c r="A6" t="s">
        <v>66</v>
      </c>
      <c r="B6" t="s">
        <v>69</v>
      </c>
      <c r="C6">
        <v>2</v>
      </c>
      <c r="D6" t="s">
        <v>81</v>
      </c>
      <c r="E6" t="s">
        <v>82</v>
      </c>
      <c r="F6" t="s">
        <v>72</v>
      </c>
      <c r="G6">
        <v>5989</v>
      </c>
      <c r="H6">
        <v>0</v>
      </c>
      <c r="I6" t="str">
        <f>OutputTable[[#This Row],[ProjectName]]&amp;OutputTable[[#This Row],[Name]]&amp;OutputTable[[#This Row],[Type]]&amp;OutputTable[[#This Row],[Source]]</f>
        <v>Unnamed ProjectPart.NumberOutNumber OutEntity</v>
      </c>
      <c r="J6" cm="1">
        <f t="array" ref="J6">MAX(IF((ProjectInfoTable[ProjectName]=OutputTable[[#This Row],[ProjectName]]),(ProjectInfoTable[ProjectName]=OutputTable[[#This Row],[ProjectName]])*ProjectInfoTable[NumberOfReplications]))</f>
        <v>5</v>
      </c>
      <c r="K6" cm="1">
        <f t="array" ref="K6">IFERROR(AVERAGE(IF((OutputTable[GroupByKey]=OutputTable[[#This Row],[GroupByKey]]),(OutputTable[GroupByKey]=OutputTable[[#This Row],[GroupByKey]])*OutputTable[RecordedValue])),0)</f>
        <v>5994.2</v>
      </c>
      <c r="L6" cm="1">
        <f t="array" ref="L6">IFERROR(_xlfn.STDEV.S(IF((OutputTable[GroupByKey]=OutputTable[[#This Row],[GroupByKey]]),(OutputTable[GroupByKey]=OutputTable[[#This Row],[GroupByKey]])*OutputTable[RecordedValue])),0)</f>
        <v>11.388590782006348</v>
      </c>
      <c r="M6" cm="1">
        <f t="array" ref="M6">MAX(IF((ProjectInfoTable[ProjectName]=OutputTable[[#This Row],[ProjectName]]),(ProjectInfoTable[ProjectName]=OutputTable[[#This Row],[ProjectName]])*ProjectInfoTable[ConfidenceInterval]))</f>
        <v>0.95</v>
      </c>
      <c r="N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14.140803164292532</v>
      </c>
      <c r="O6" cm="1">
        <f t="array" ref="O6">MIN(IF((OutputTable[GroupByKey]=OutputTable[[#This Row],[GroupByKey]]),(OutputTable[GroupByKey]=OutputTable[[#This Row],[GroupByKey]])*OutputTable[RecordedValue]))</f>
        <v>5985</v>
      </c>
      <c r="P6" cm="1">
        <f t="array" ref="P6">MAX(IF((OutputTable[GroupByKey]=OutputTable[[#This Row],[GroupByKey]]),(OutputTable[GroupByKey]=OutputTable[[#This Row],[GroupByKey]])*OutputTable[RecordedValue]))</f>
        <v>6014</v>
      </c>
    </row>
    <row r="7" spans="1:16" x14ac:dyDescent="0.3">
      <c r="A7" t="s">
        <v>66</v>
      </c>
      <c r="B7" t="s">
        <v>69</v>
      </c>
      <c r="C7">
        <v>2</v>
      </c>
      <c r="D7" t="s">
        <v>83</v>
      </c>
      <c r="E7" t="s">
        <v>82</v>
      </c>
      <c r="F7" t="s">
        <v>84</v>
      </c>
      <c r="G7">
        <v>5989</v>
      </c>
      <c r="H7">
        <v>0</v>
      </c>
      <c r="I7" t="str">
        <f>OutputTable[[#This Row],[ProjectName]]&amp;OutputTable[[#This Row],[Name]]&amp;OutputTable[[#This Row],[Type]]&amp;OutputTable[[#This Row],[Source]]</f>
        <v>Unnamed ProjectSystem.NumberOutNumber OutSystem</v>
      </c>
      <c r="J7" cm="1">
        <f t="array" ref="J7">MAX(IF((ProjectInfoTable[ProjectName]=OutputTable[[#This Row],[ProjectName]]),(ProjectInfoTable[ProjectName]=OutputTable[[#This Row],[ProjectName]])*ProjectInfoTable[NumberOfReplications]))</f>
        <v>5</v>
      </c>
      <c r="K7" cm="1">
        <f t="array" ref="K7">IFERROR(AVERAGE(IF((OutputTable[GroupByKey]=OutputTable[[#This Row],[GroupByKey]]),(OutputTable[GroupByKey]=OutputTable[[#This Row],[GroupByKey]])*OutputTable[RecordedValue])),0)</f>
        <v>5994.2</v>
      </c>
      <c r="L7" cm="1">
        <f t="array" ref="L7">IFERROR(_xlfn.STDEV.S(IF((OutputTable[GroupByKey]=OutputTable[[#This Row],[GroupByKey]]),(OutputTable[GroupByKey]=OutputTable[[#This Row],[GroupByKey]])*OutputTable[RecordedValue])),0)</f>
        <v>11.388590782006348</v>
      </c>
      <c r="M7" cm="1">
        <f t="array" ref="M7">MAX(IF((ProjectInfoTable[ProjectName]=OutputTable[[#This Row],[ProjectName]]),(ProjectInfoTable[ProjectName]=OutputTable[[#This Row],[ProjectName]])*ProjectInfoTable[ConfidenceInterval]))</f>
        <v>0.95</v>
      </c>
      <c r="N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14.140803164292532</v>
      </c>
      <c r="O7" cm="1">
        <f t="array" ref="O7">MIN(IF((OutputTable[GroupByKey]=OutputTable[[#This Row],[GroupByKey]]),(OutputTable[GroupByKey]=OutputTable[[#This Row],[GroupByKey]])*OutputTable[RecordedValue]))</f>
        <v>5985</v>
      </c>
      <c r="P7" cm="1">
        <f t="array" ref="P7">MAX(IF((OutputTable[GroupByKey]=OutputTable[[#This Row],[GroupByKey]]),(OutputTable[GroupByKey]=OutputTable[[#This Row],[GroupByKey]])*OutputTable[RecordedValue]))</f>
        <v>6014</v>
      </c>
    </row>
    <row r="8" spans="1:16" x14ac:dyDescent="0.3">
      <c r="A8" t="s">
        <v>66</v>
      </c>
      <c r="B8" t="s">
        <v>69</v>
      </c>
      <c r="C8">
        <v>3</v>
      </c>
      <c r="D8" t="s">
        <v>79</v>
      </c>
      <c r="E8" t="s">
        <v>80</v>
      </c>
      <c r="F8" t="s">
        <v>72</v>
      </c>
      <c r="G8">
        <v>6014</v>
      </c>
      <c r="H8">
        <v>0</v>
      </c>
      <c r="I8" t="str">
        <f>OutputTable[[#This Row],[ProjectName]]&amp;OutputTable[[#This Row],[Name]]&amp;OutputTable[[#This Row],[Type]]&amp;OutputTable[[#This Row],[Source]]</f>
        <v>Unnamed ProjectPart.NumberInNumber InEntity</v>
      </c>
      <c r="J8" cm="1">
        <f t="array" ref="J8">MAX(IF((ProjectInfoTable[ProjectName]=OutputTable[[#This Row],[ProjectName]]),(ProjectInfoTable[ProjectName]=OutputTable[[#This Row],[ProjectName]])*ProjectInfoTable[NumberOfReplications]))</f>
        <v>5</v>
      </c>
      <c r="K8" cm="1">
        <f t="array" ref="K8">IFERROR(AVERAGE(IF((OutputTable[GroupByKey]=OutputTable[[#This Row],[GroupByKey]]),(OutputTable[GroupByKey]=OutputTable[[#This Row],[GroupByKey]])*OutputTable[RecordedValue])),0)</f>
        <v>5994.4</v>
      </c>
      <c r="L8" cm="1">
        <f t="array" ref="L8">IFERROR(_xlfn.STDEV.S(IF((OutputTable[GroupByKey]=OutputTable[[#This Row],[GroupByKey]]),(OutputTable[GroupByKey]=OutputTable[[#This Row],[GroupByKey]])*OutputTable[RecordedValue])),0)</f>
        <v>11.349008767288886</v>
      </c>
      <c r="M8" cm="1">
        <f t="array" ref="M8">MAX(IF((ProjectInfoTable[ProjectName]=OutputTable[[#This Row],[ProjectName]]),(ProjectInfoTable[ProjectName]=OutputTable[[#This Row],[ProjectName]])*ProjectInfoTable[ConfidenceInterval]))</f>
        <v>0.95</v>
      </c>
      <c r="N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14.091655601641488</v>
      </c>
      <c r="O8" cm="1">
        <f t="array" ref="O8">MIN(IF((OutputTable[GroupByKey]=OutputTable[[#This Row],[GroupByKey]]),(OutputTable[GroupByKey]=OutputTable[[#This Row],[GroupByKey]])*OutputTable[RecordedValue]))</f>
        <v>5985</v>
      </c>
      <c r="P8" cm="1">
        <f t="array" ref="P8">MAX(IF((OutputTable[GroupByKey]=OutputTable[[#This Row],[GroupByKey]]),(OutputTable[GroupByKey]=OutputTable[[#This Row],[GroupByKey]])*OutputTable[RecordedValue]))</f>
        <v>6014</v>
      </c>
    </row>
    <row r="9" spans="1:16" x14ac:dyDescent="0.3">
      <c r="A9" t="s">
        <v>66</v>
      </c>
      <c r="B9" t="s">
        <v>69</v>
      </c>
      <c r="C9">
        <v>3</v>
      </c>
      <c r="D9" t="s">
        <v>81</v>
      </c>
      <c r="E9" t="s">
        <v>82</v>
      </c>
      <c r="F9" t="s">
        <v>72</v>
      </c>
      <c r="G9">
        <v>6014</v>
      </c>
      <c r="H9">
        <v>0</v>
      </c>
      <c r="I9" t="str">
        <f>OutputTable[[#This Row],[ProjectName]]&amp;OutputTable[[#This Row],[Name]]&amp;OutputTable[[#This Row],[Type]]&amp;OutputTable[[#This Row],[Source]]</f>
        <v>Unnamed ProjectPart.NumberOutNumber OutEntity</v>
      </c>
      <c r="J9" cm="1">
        <f t="array" ref="J9">MAX(IF((ProjectInfoTable[ProjectName]=OutputTable[[#This Row],[ProjectName]]),(ProjectInfoTable[ProjectName]=OutputTable[[#This Row],[ProjectName]])*ProjectInfoTable[NumberOfReplications]))</f>
        <v>5</v>
      </c>
      <c r="K9" cm="1">
        <f t="array" ref="K9">IFERROR(AVERAGE(IF((OutputTable[GroupByKey]=OutputTable[[#This Row],[GroupByKey]]),(OutputTable[GroupByKey]=OutputTable[[#This Row],[GroupByKey]])*OutputTable[RecordedValue])),0)</f>
        <v>5994.2</v>
      </c>
      <c r="L9" cm="1">
        <f t="array" ref="L9">IFERROR(_xlfn.STDEV.S(IF((OutputTable[GroupByKey]=OutputTable[[#This Row],[GroupByKey]]),(OutputTable[GroupByKey]=OutputTable[[#This Row],[GroupByKey]])*OutputTable[RecordedValue])),0)</f>
        <v>11.388590782006348</v>
      </c>
      <c r="M9" cm="1">
        <f t="array" ref="M9">MAX(IF((ProjectInfoTable[ProjectName]=OutputTable[[#This Row],[ProjectName]]),(ProjectInfoTable[ProjectName]=OutputTable[[#This Row],[ProjectName]])*ProjectInfoTable[ConfidenceInterval]))</f>
        <v>0.95</v>
      </c>
      <c r="N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14.140803164292532</v>
      </c>
      <c r="O9" cm="1">
        <f t="array" ref="O9">MIN(IF((OutputTable[GroupByKey]=OutputTable[[#This Row],[GroupByKey]]),(OutputTable[GroupByKey]=OutputTable[[#This Row],[GroupByKey]])*OutputTable[RecordedValue]))</f>
        <v>5985</v>
      </c>
      <c r="P9" cm="1">
        <f t="array" ref="P9">MAX(IF((OutputTable[GroupByKey]=OutputTable[[#This Row],[GroupByKey]]),(OutputTable[GroupByKey]=OutputTable[[#This Row],[GroupByKey]])*OutputTable[RecordedValue]))</f>
        <v>6014</v>
      </c>
    </row>
    <row r="10" spans="1:16" x14ac:dyDescent="0.3">
      <c r="A10" t="s">
        <v>66</v>
      </c>
      <c r="B10" t="s">
        <v>69</v>
      </c>
      <c r="C10">
        <v>3</v>
      </c>
      <c r="D10" t="s">
        <v>83</v>
      </c>
      <c r="E10" t="s">
        <v>82</v>
      </c>
      <c r="F10" t="s">
        <v>84</v>
      </c>
      <c r="G10">
        <v>6014</v>
      </c>
      <c r="H10">
        <v>0</v>
      </c>
      <c r="I10" t="str">
        <f>OutputTable[[#This Row],[ProjectName]]&amp;OutputTable[[#This Row],[Name]]&amp;OutputTable[[#This Row],[Type]]&amp;OutputTable[[#This Row],[Source]]</f>
        <v>Unnamed ProjectSystem.NumberOutNumber OutSystem</v>
      </c>
      <c r="J10" cm="1">
        <f t="array" ref="J10">MAX(IF((ProjectInfoTable[ProjectName]=OutputTable[[#This Row],[ProjectName]]),(ProjectInfoTable[ProjectName]=OutputTable[[#This Row],[ProjectName]])*ProjectInfoTable[NumberOfReplications]))</f>
        <v>5</v>
      </c>
      <c r="K10" cm="1">
        <f t="array" ref="K10">IFERROR(AVERAGE(IF((OutputTable[GroupByKey]=OutputTable[[#This Row],[GroupByKey]]),(OutputTable[GroupByKey]=OutputTable[[#This Row],[GroupByKey]])*OutputTable[RecordedValue])),0)</f>
        <v>5994.2</v>
      </c>
      <c r="L10" cm="1">
        <f t="array" ref="L10">IFERROR(_xlfn.STDEV.S(IF((OutputTable[GroupByKey]=OutputTable[[#This Row],[GroupByKey]]),(OutputTable[GroupByKey]=OutputTable[[#This Row],[GroupByKey]])*OutputTable[RecordedValue])),0)</f>
        <v>11.388590782006348</v>
      </c>
      <c r="M10" cm="1">
        <f t="array" ref="M10">MAX(IF((ProjectInfoTable[ProjectName]=OutputTable[[#This Row],[ProjectName]]),(ProjectInfoTable[ProjectName]=OutputTable[[#This Row],[ProjectName]])*ProjectInfoTable[ConfidenceInterval]))</f>
        <v>0.95</v>
      </c>
      <c r="N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14.140803164292532</v>
      </c>
      <c r="O10" cm="1">
        <f t="array" ref="O10">MIN(IF((OutputTable[GroupByKey]=OutputTable[[#This Row],[GroupByKey]]),(OutputTable[GroupByKey]=OutputTable[[#This Row],[GroupByKey]])*OutputTable[RecordedValue]))</f>
        <v>5985</v>
      </c>
      <c r="P10" cm="1">
        <f t="array" ref="P10">MAX(IF((OutputTable[GroupByKey]=OutputTable[[#This Row],[GroupByKey]]),(OutputTable[GroupByKey]=OutputTable[[#This Row],[GroupByKey]])*OutputTable[RecordedValue]))</f>
        <v>6014</v>
      </c>
    </row>
    <row r="11" spans="1:16" x14ac:dyDescent="0.3">
      <c r="A11" t="s">
        <v>66</v>
      </c>
      <c r="B11" t="s">
        <v>69</v>
      </c>
      <c r="C11">
        <v>4</v>
      </c>
      <c r="D11" t="s">
        <v>79</v>
      </c>
      <c r="E11" t="s">
        <v>80</v>
      </c>
      <c r="F11" t="s">
        <v>72</v>
      </c>
      <c r="G11">
        <v>5985</v>
      </c>
      <c r="H11">
        <v>0</v>
      </c>
      <c r="I11" t="str">
        <f>OutputTable[[#This Row],[ProjectName]]&amp;OutputTable[[#This Row],[Name]]&amp;OutputTable[[#This Row],[Type]]&amp;OutputTable[[#This Row],[Source]]</f>
        <v>Unnamed ProjectPart.NumberInNumber InEntity</v>
      </c>
      <c r="J11" cm="1">
        <f t="array" ref="J11">MAX(IF((ProjectInfoTable[ProjectName]=OutputTable[[#This Row],[ProjectName]]),(ProjectInfoTable[ProjectName]=OutputTable[[#This Row],[ProjectName]])*ProjectInfoTable[NumberOfReplications]))</f>
        <v>5</v>
      </c>
      <c r="K11" cm="1">
        <f t="array" ref="K11">IFERROR(AVERAGE(IF((OutputTable[GroupByKey]=OutputTable[[#This Row],[GroupByKey]]),(OutputTable[GroupByKey]=OutputTable[[#This Row],[GroupByKey]])*OutputTable[RecordedValue])),0)</f>
        <v>5994.4</v>
      </c>
      <c r="L11" cm="1">
        <f t="array" ref="L11">IFERROR(_xlfn.STDEV.S(IF((OutputTable[GroupByKey]=OutputTable[[#This Row],[GroupByKey]]),(OutputTable[GroupByKey]=OutputTable[[#This Row],[GroupByKey]])*OutputTable[RecordedValue])),0)</f>
        <v>11.349008767288886</v>
      </c>
      <c r="M11" cm="1">
        <f t="array" ref="M11">MAX(IF((ProjectInfoTable[ProjectName]=OutputTable[[#This Row],[ProjectName]]),(ProjectInfoTable[ProjectName]=OutputTable[[#This Row],[ProjectName]])*ProjectInfoTable[ConfidenceInterval]))</f>
        <v>0.95</v>
      </c>
      <c r="N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14.091655601641488</v>
      </c>
      <c r="O11" cm="1">
        <f t="array" ref="O11">MIN(IF((OutputTable[GroupByKey]=OutputTable[[#This Row],[GroupByKey]]),(OutputTable[GroupByKey]=OutputTable[[#This Row],[GroupByKey]])*OutputTable[RecordedValue]))</f>
        <v>5985</v>
      </c>
      <c r="P11" cm="1">
        <f t="array" ref="P11">MAX(IF((OutputTable[GroupByKey]=OutputTable[[#This Row],[GroupByKey]]),(OutputTable[GroupByKey]=OutputTable[[#This Row],[GroupByKey]])*OutputTable[RecordedValue]))</f>
        <v>6014</v>
      </c>
    </row>
    <row r="12" spans="1:16" x14ac:dyDescent="0.3">
      <c r="A12" t="s">
        <v>66</v>
      </c>
      <c r="B12" t="s">
        <v>69</v>
      </c>
      <c r="C12">
        <v>4</v>
      </c>
      <c r="D12" t="s">
        <v>81</v>
      </c>
      <c r="E12" t="s">
        <v>82</v>
      </c>
      <c r="F12" t="s">
        <v>72</v>
      </c>
      <c r="G12">
        <v>5985</v>
      </c>
      <c r="H12">
        <v>0</v>
      </c>
      <c r="I12" t="str">
        <f>OutputTable[[#This Row],[ProjectName]]&amp;OutputTable[[#This Row],[Name]]&amp;OutputTable[[#This Row],[Type]]&amp;OutputTable[[#This Row],[Source]]</f>
        <v>Unnamed ProjectPart.NumberOutNumber OutEntity</v>
      </c>
      <c r="J12" cm="1">
        <f t="array" ref="J12">MAX(IF((ProjectInfoTable[ProjectName]=OutputTable[[#This Row],[ProjectName]]),(ProjectInfoTable[ProjectName]=OutputTable[[#This Row],[ProjectName]])*ProjectInfoTable[NumberOfReplications]))</f>
        <v>5</v>
      </c>
      <c r="K12" cm="1">
        <f t="array" ref="K12">IFERROR(AVERAGE(IF((OutputTable[GroupByKey]=OutputTable[[#This Row],[GroupByKey]]),(OutputTable[GroupByKey]=OutputTable[[#This Row],[GroupByKey]])*OutputTable[RecordedValue])),0)</f>
        <v>5994.2</v>
      </c>
      <c r="L12" cm="1">
        <f t="array" ref="L12">IFERROR(_xlfn.STDEV.S(IF((OutputTable[GroupByKey]=OutputTable[[#This Row],[GroupByKey]]),(OutputTable[GroupByKey]=OutputTable[[#This Row],[GroupByKey]])*OutputTable[RecordedValue])),0)</f>
        <v>11.388590782006348</v>
      </c>
      <c r="M12" cm="1">
        <f t="array" ref="M12">MAX(IF((ProjectInfoTable[ProjectName]=OutputTable[[#This Row],[ProjectName]]),(ProjectInfoTable[ProjectName]=OutputTable[[#This Row],[ProjectName]])*ProjectInfoTable[ConfidenceInterval]))</f>
        <v>0.95</v>
      </c>
      <c r="N1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14.140803164292532</v>
      </c>
      <c r="O12" cm="1">
        <f t="array" ref="O12">MIN(IF((OutputTable[GroupByKey]=OutputTable[[#This Row],[GroupByKey]]),(OutputTable[GroupByKey]=OutputTable[[#This Row],[GroupByKey]])*OutputTable[RecordedValue]))</f>
        <v>5985</v>
      </c>
      <c r="P12" cm="1">
        <f t="array" ref="P12">MAX(IF((OutputTable[GroupByKey]=OutputTable[[#This Row],[GroupByKey]]),(OutputTable[GroupByKey]=OutputTable[[#This Row],[GroupByKey]])*OutputTable[RecordedValue]))</f>
        <v>6014</v>
      </c>
    </row>
    <row r="13" spans="1:16" x14ac:dyDescent="0.3">
      <c r="A13" t="s">
        <v>66</v>
      </c>
      <c r="B13" t="s">
        <v>69</v>
      </c>
      <c r="C13">
        <v>4</v>
      </c>
      <c r="D13" t="s">
        <v>83</v>
      </c>
      <c r="E13" t="s">
        <v>82</v>
      </c>
      <c r="F13" t="s">
        <v>84</v>
      </c>
      <c r="G13">
        <v>5985</v>
      </c>
      <c r="H13">
        <v>0</v>
      </c>
      <c r="I13" t="str">
        <f>OutputTable[[#This Row],[ProjectName]]&amp;OutputTable[[#This Row],[Name]]&amp;OutputTable[[#This Row],[Type]]&amp;OutputTable[[#This Row],[Source]]</f>
        <v>Unnamed ProjectSystem.NumberOutNumber OutSystem</v>
      </c>
      <c r="J13" cm="1">
        <f t="array" ref="J13">MAX(IF((ProjectInfoTable[ProjectName]=OutputTable[[#This Row],[ProjectName]]),(ProjectInfoTable[ProjectName]=OutputTable[[#This Row],[ProjectName]])*ProjectInfoTable[NumberOfReplications]))</f>
        <v>5</v>
      </c>
      <c r="K13" cm="1">
        <f t="array" ref="K13">IFERROR(AVERAGE(IF((OutputTable[GroupByKey]=OutputTable[[#This Row],[GroupByKey]]),(OutputTable[GroupByKey]=OutputTable[[#This Row],[GroupByKey]])*OutputTable[RecordedValue])),0)</f>
        <v>5994.2</v>
      </c>
      <c r="L13" cm="1">
        <f t="array" ref="L13">IFERROR(_xlfn.STDEV.S(IF((OutputTable[GroupByKey]=OutputTable[[#This Row],[GroupByKey]]),(OutputTable[GroupByKey]=OutputTable[[#This Row],[GroupByKey]])*OutputTable[RecordedValue])),0)</f>
        <v>11.388590782006348</v>
      </c>
      <c r="M13" cm="1">
        <f t="array" ref="M13">MAX(IF((ProjectInfoTable[ProjectName]=OutputTable[[#This Row],[ProjectName]]),(ProjectInfoTable[ProjectName]=OutputTable[[#This Row],[ProjectName]])*ProjectInfoTable[ConfidenceInterval]))</f>
        <v>0.95</v>
      </c>
      <c r="N1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14.140803164292532</v>
      </c>
      <c r="O13" cm="1">
        <f t="array" ref="O13">MIN(IF((OutputTable[GroupByKey]=OutputTable[[#This Row],[GroupByKey]]),(OutputTable[GroupByKey]=OutputTable[[#This Row],[GroupByKey]])*OutputTable[RecordedValue]))</f>
        <v>5985</v>
      </c>
      <c r="P13" cm="1">
        <f t="array" ref="P13">MAX(IF((OutputTable[GroupByKey]=OutputTable[[#This Row],[GroupByKey]]),(OutputTable[GroupByKey]=OutputTable[[#This Row],[GroupByKey]])*OutputTable[RecordedValue]))</f>
        <v>6014</v>
      </c>
    </row>
    <row r="14" spans="1:16" x14ac:dyDescent="0.3">
      <c r="A14" t="s">
        <v>66</v>
      </c>
      <c r="B14" t="s">
        <v>69</v>
      </c>
      <c r="C14">
        <v>5</v>
      </c>
      <c r="D14" t="s">
        <v>79</v>
      </c>
      <c r="E14" t="s">
        <v>80</v>
      </c>
      <c r="F14" t="s">
        <v>72</v>
      </c>
      <c r="G14">
        <v>5991</v>
      </c>
      <c r="H14">
        <v>0</v>
      </c>
      <c r="I14" t="str">
        <f>OutputTable[[#This Row],[ProjectName]]&amp;OutputTable[[#This Row],[Name]]&amp;OutputTable[[#This Row],[Type]]&amp;OutputTable[[#This Row],[Source]]</f>
        <v>Unnamed ProjectPart.NumberInNumber InEntity</v>
      </c>
      <c r="J14" cm="1">
        <f t="array" ref="J14">MAX(IF((ProjectInfoTable[ProjectName]=OutputTable[[#This Row],[ProjectName]]),(ProjectInfoTable[ProjectName]=OutputTable[[#This Row],[ProjectName]])*ProjectInfoTable[NumberOfReplications]))</f>
        <v>5</v>
      </c>
      <c r="K14" cm="1">
        <f t="array" ref="K14">IFERROR(AVERAGE(IF((OutputTable[GroupByKey]=OutputTable[[#This Row],[GroupByKey]]),(OutputTable[GroupByKey]=OutputTable[[#This Row],[GroupByKey]])*OutputTable[RecordedValue])),0)</f>
        <v>5994.4</v>
      </c>
      <c r="L14" cm="1">
        <f t="array" ref="L14">IFERROR(_xlfn.STDEV.S(IF((OutputTable[GroupByKey]=OutputTable[[#This Row],[GroupByKey]]),(OutputTable[GroupByKey]=OutputTable[[#This Row],[GroupByKey]])*OutputTable[RecordedValue])),0)</f>
        <v>11.349008767288886</v>
      </c>
      <c r="M14" cm="1">
        <f t="array" ref="M14">MAX(IF((ProjectInfoTable[ProjectName]=OutputTable[[#This Row],[ProjectName]]),(ProjectInfoTable[ProjectName]=OutputTable[[#This Row],[ProjectName]])*ProjectInfoTable[ConfidenceInterval]))</f>
        <v>0.95</v>
      </c>
      <c r="N1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14.091655601641488</v>
      </c>
      <c r="O14" cm="1">
        <f t="array" ref="O14">MIN(IF((OutputTable[GroupByKey]=OutputTable[[#This Row],[GroupByKey]]),(OutputTable[GroupByKey]=OutputTable[[#This Row],[GroupByKey]])*OutputTable[RecordedValue]))</f>
        <v>5985</v>
      </c>
      <c r="P14" cm="1">
        <f t="array" ref="P14">MAX(IF((OutputTable[GroupByKey]=OutputTable[[#This Row],[GroupByKey]]),(OutputTable[GroupByKey]=OutputTable[[#This Row],[GroupByKey]])*OutputTable[RecordedValue]))</f>
        <v>6014</v>
      </c>
    </row>
    <row r="15" spans="1:16" x14ac:dyDescent="0.3">
      <c r="A15" t="s">
        <v>66</v>
      </c>
      <c r="B15" t="s">
        <v>69</v>
      </c>
      <c r="C15">
        <v>5</v>
      </c>
      <c r="D15" t="s">
        <v>81</v>
      </c>
      <c r="E15" t="s">
        <v>82</v>
      </c>
      <c r="F15" t="s">
        <v>72</v>
      </c>
      <c r="G15">
        <v>5991</v>
      </c>
      <c r="H15">
        <v>0</v>
      </c>
      <c r="I15" t="str">
        <f>OutputTable[[#This Row],[ProjectName]]&amp;OutputTable[[#This Row],[Name]]&amp;OutputTable[[#This Row],[Type]]&amp;OutputTable[[#This Row],[Source]]</f>
        <v>Unnamed ProjectPart.NumberOutNumber OutEntity</v>
      </c>
      <c r="J15" cm="1">
        <f t="array" ref="J15">MAX(IF((ProjectInfoTable[ProjectName]=OutputTable[[#This Row],[ProjectName]]),(ProjectInfoTable[ProjectName]=OutputTable[[#This Row],[ProjectName]])*ProjectInfoTable[NumberOfReplications]))</f>
        <v>5</v>
      </c>
      <c r="K15" cm="1">
        <f t="array" ref="K15">IFERROR(AVERAGE(IF((OutputTable[GroupByKey]=OutputTable[[#This Row],[GroupByKey]]),(OutputTable[GroupByKey]=OutputTable[[#This Row],[GroupByKey]])*OutputTable[RecordedValue])),0)</f>
        <v>5994.2</v>
      </c>
      <c r="L15" cm="1">
        <f t="array" ref="L15">IFERROR(_xlfn.STDEV.S(IF((OutputTable[GroupByKey]=OutputTable[[#This Row],[GroupByKey]]),(OutputTable[GroupByKey]=OutputTable[[#This Row],[GroupByKey]])*OutputTable[RecordedValue])),0)</f>
        <v>11.388590782006348</v>
      </c>
      <c r="M15" cm="1">
        <f t="array" ref="M15">MAX(IF((ProjectInfoTable[ProjectName]=OutputTable[[#This Row],[ProjectName]]),(ProjectInfoTable[ProjectName]=OutputTable[[#This Row],[ProjectName]])*ProjectInfoTable[ConfidenceInterval]))</f>
        <v>0.95</v>
      </c>
      <c r="N1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14.140803164292532</v>
      </c>
      <c r="O15" cm="1">
        <f t="array" ref="O15">MIN(IF((OutputTable[GroupByKey]=OutputTable[[#This Row],[GroupByKey]]),(OutputTable[GroupByKey]=OutputTable[[#This Row],[GroupByKey]])*OutputTable[RecordedValue]))</f>
        <v>5985</v>
      </c>
      <c r="P15" cm="1">
        <f t="array" ref="P15">MAX(IF((OutputTable[GroupByKey]=OutputTable[[#This Row],[GroupByKey]]),(OutputTable[GroupByKey]=OutputTable[[#This Row],[GroupByKey]])*OutputTable[RecordedValue]))</f>
        <v>6014</v>
      </c>
    </row>
    <row r="16" spans="1:16" x14ac:dyDescent="0.3">
      <c r="A16" t="s">
        <v>66</v>
      </c>
      <c r="B16" t="s">
        <v>69</v>
      </c>
      <c r="C16">
        <v>5</v>
      </c>
      <c r="D16" t="s">
        <v>83</v>
      </c>
      <c r="E16" t="s">
        <v>82</v>
      </c>
      <c r="F16" t="s">
        <v>84</v>
      </c>
      <c r="G16">
        <v>5991</v>
      </c>
      <c r="H16">
        <v>0</v>
      </c>
      <c r="I16" t="str">
        <f>OutputTable[[#This Row],[ProjectName]]&amp;OutputTable[[#This Row],[Name]]&amp;OutputTable[[#This Row],[Type]]&amp;OutputTable[[#This Row],[Source]]</f>
        <v>Unnamed ProjectSystem.NumberOutNumber OutSystem</v>
      </c>
      <c r="J16" cm="1">
        <f t="array" ref="J16">MAX(IF((ProjectInfoTable[ProjectName]=OutputTable[[#This Row],[ProjectName]]),(ProjectInfoTable[ProjectName]=OutputTable[[#This Row],[ProjectName]])*ProjectInfoTable[NumberOfReplications]))</f>
        <v>5</v>
      </c>
      <c r="K16" cm="1">
        <f t="array" ref="K16">IFERROR(AVERAGE(IF((OutputTable[GroupByKey]=OutputTable[[#This Row],[GroupByKey]]),(OutputTable[GroupByKey]=OutputTable[[#This Row],[GroupByKey]])*OutputTable[RecordedValue])),0)</f>
        <v>5994.2</v>
      </c>
      <c r="L16" cm="1">
        <f t="array" ref="L16">IFERROR(_xlfn.STDEV.S(IF((OutputTable[GroupByKey]=OutputTable[[#This Row],[GroupByKey]]),(OutputTable[GroupByKey]=OutputTable[[#This Row],[GroupByKey]])*OutputTable[RecordedValue])),0)</f>
        <v>11.388590782006348</v>
      </c>
      <c r="M16" cm="1">
        <f t="array" ref="M16">MAX(IF((ProjectInfoTable[ProjectName]=OutputTable[[#This Row],[ProjectName]]),(ProjectInfoTable[ProjectName]=OutputTable[[#This Row],[ProjectName]])*ProjectInfoTable[ConfidenceInterval]))</f>
        <v>0.95</v>
      </c>
      <c r="N1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14.140803164292532</v>
      </c>
      <c r="O16" cm="1">
        <f t="array" ref="O16">MIN(IF((OutputTable[GroupByKey]=OutputTable[[#This Row],[GroupByKey]]),(OutputTable[GroupByKey]=OutputTable[[#This Row],[GroupByKey]])*OutputTable[RecordedValue]))</f>
        <v>5985</v>
      </c>
      <c r="P16" cm="1">
        <f t="array" ref="P16">MAX(IF((OutputTable[GroupByKey]=OutputTable[[#This Row],[GroupByKey]]),(OutputTable[GroupByKey]=OutputTable[[#This Row],[GroupByKey]])*OutputTable[RecordedValue]))</f>
        <v>6014</v>
      </c>
    </row>
    <row r="17" x14ac:dyDescent="0.3"/>
    <row r="18" x14ac:dyDescent="0.3"/>
    <row r="19" x14ac:dyDescent="0.3"/>
    <row r="20" x14ac:dyDescent="0.3"/>
    <row r="21" x14ac:dyDescent="0.3"/>
    <row r="22" x14ac:dyDescent="0.3"/>
    <row r="23" x14ac:dyDescent="0.3"/>
    <row r="24" x14ac:dyDescent="0.3"/>
    <row r="25" x14ac:dyDescent="0.3"/>
    <row r="26" x14ac:dyDescent="0.3"/>
    <row r="27" x14ac:dyDescent="0.3"/>
    <row r="28" x14ac:dyDescent="0.3"/>
    <row r="29" x14ac:dyDescent="0.3"/>
    <row r="30" x14ac:dyDescent="0.3"/>
    <row r="31" x14ac:dyDescent="0.3"/>
  </sheetData>
  <phoneticPr fontId="2" type="noConversion"/>
  <conditionalFormatting sqref="I2:P16">
    <cfRule type="expression" dxfId="3" priority="2">
      <formula>MOD(ROW(),2)=0</formula>
    </cfRule>
  </conditionalFormatting>
  <conditionalFormatting sqref="N2:N16">
    <cfRule type="expression" dxfId="2" priority="1">
      <formula>N2=400000000000000000000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F912C-928E-45DC-B239-DFE111DF9CB8}">
  <sheetPr codeName="Sheet1"/>
  <dimension ref="A1:Q76"/>
  <sheetViews>
    <sheetView workbookViewId="0">
      <selection activeCell="A2" sqref="A2"/>
    </sheetView>
  </sheetViews>
  <sheetFormatPr defaultRowHeight="14" x14ac:dyDescent="0.3"/>
  <cols>
    <col min="1" max="1" width="14.1640625" bestFit="1" customWidth="1"/>
    <col min="2" max="2" width="21.58203125" bestFit="1" customWidth="1"/>
    <col min="3" max="3" width="12.6640625" bestFit="1" customWidth="1"/>
    <col min="4" max="4" width="8.1640625" bestFit="1" customWidth="1"/>
    <col min="5" max="5" width="10.75" bestFit="1" customWidth="1"/>
    <col min="6" max="6" width="8.9140625" bestFit="1" customWidth="1"/>
    <col min="7" max="7" width="20.58203125" bestFit="1" customWidth="1"/>
    <col min="8" max="8" width="21.58203125" bestFit="1" customWidth="1"/>
    <col min="9" max="9" width="24.08203125" bestFit="1" customWidth="1"/>
    <col min="10" max="10" width="25.33203125" bestFit="1" customWidth="1"/>
    <col min="11" max="11" width="15.4140625" bestFit="1" customWidth="1"/>
    <col min="12" max="12" width="13.5" bestFit="1" customWidth="1"/>
    <col min="13" max="13" width="28.9140625" bestFit="1" customWidth="1"/>
    <col min="14" max="14" width="29.9140625" bestFit="1" customWidth="1"/>
    <col min="15" max="15" width="16.4140625" bestFit="1" customWidth="1"/>
    <col min="16" max="16" width="27.9140625" bestFit="1" customWidth="1"/>
    <col min="17" max="17" width="28.9140625" bestFit="1" customWidth="1"/>
    <col min="18" max="18" width="29.33203125" bestFit="1" customWidth="1"/>
    <col min="19" max="19" width="28.33203125" bestFit="1" customWidth="1"/>
    <col min="20" max="20" width="26.33203125" bestFit="1" customWidth="1"/>
    <col min="21" max="21" width="29.9140625" bestFit="1" customWidth="1"/>
    <col min="22" max="22" width="31.9140625" bestFit="1" customWidth="1"/>
    <col min="23" max="23" width="32.08203125" bestFit="1" customWidth="1"/>
  </cols>
  <sheetData>
    <row r="1" spans="1:17" x14ac:dyDescent="0.3">
      <c r="A1" t="s">
        <v>64</v>
      </c>
      <c r="B1" t="s">
        <v>42</v>
      </c>
      <c r="C1" t="s">
        <v>0</v>
      </c>
      <c r="D1" t="s">
        <v>21</v>
      </c>
      <c r="E1" t="s">
        <v>57</v>
      </c>
      <c r="F1" t="s">
        <v>22</v>
      </c>
      <c r="G1" t="s">
        <v>6</v>
      </c>
      <c r="H1" t="s">
        <v>45</v>
      </c>
      <c r="I1" t="s">
        <v>7</v>
      </c>
      <c r="J1" t="s">
        <v>8</v>
      </c>
      <c r="K1" t="s">
        <v>67</v>
      </c>
      <c r="L1" t="s">
        <v>24</v>
      </c>
      <c r="M1" t="s">
        <v>47</v>
      </c>
      <c r="N1" t="s">
        <v>48</v>
      </c>
      <c r="O1" t="s">
        <v>60</v>
      </c>
      <c r="P1" t="s">
        <v>29</v>
      </c>
      <c r="Q1" t="s">
        <v>34</v>
      </c>
    </row>
    <row r="2" spans="1:17" x14ac:dyDescent="0.3"/>
    <row r="3" spans="1:17" x14ac:dyDescent="0.3"/>
    <row r="4" spans="1:17" x14ac:dyDescent="0.3"/>
    <row r="5" spans="1:17" x14ac:dyDescent="0.3"/>
    <row r="6" spans="1:17" x14ac:dyDescent="0.3"/>
    <row r="7" spans="1:17" x14ac:dyDescent="0.3"/>
    <row r="8" spans="1:17" x14ac:dyDescent="0.3"/>
    <row r="9" spans="1:17" x14ac:dyDescent="0.3"/>
    <row r="10" spans="1:17" x14ac:dyDescent="0.3"/>
    <row r="11" spans="1:17" x14ac:dyDescent="0.3"/>
    <row r="12" spans="1:17" x14ac:dyDescent="0.3"/>
    <row r="13" spans="1:17" x14ac:dyDescent="0.3"/>
    <row r="14" spans="1:17" x14ac:dyDescent="0.3"/>
    <row r="15" spans="1:17" x14ac:dyDescent="0.3"/>
    <row r="16" spans="1:17" x14ac:dyDescent="0.3"/>
    <row r="17" spans="2:2" x14ac:dyDescent="0.3">
      <c r="B17" s="3"/>
    </row>
    <row r="18" spans="2:2" x14ac:dyDescent="0.3">
      <c r="B18" s="3"/>
    </row>
    <row r="19" spans="2:2" x14ac:dyDescent="0.3">
      <c r="B19" s="3"/>
    </row>
    <row r="20" spans="2:2" x14ac:dyDescent="0.3">
      <c r="B20" s="3"/>
    </row>
    <row r="21" spans="2:2" x14ac:dyDescent="0.3">
      <c r="B21" s="3"/>
    </row>
    <row r="22" spans="2:2" x14ac:dyDescent="0.3">
      <c r="B22" s="3"/>
    </row>
    <row r="23" spans="2:2" x14ac:dyDescent="0.3">
      <c r="B23" s="3"/>
    </row>
    <row r="24" spans="2:2" x14ac:dyDescent="0.3">
      <c r="B24" s="3"/>
    </row>
    <row r="25" spans="2:2" x14ac:dyDescent="0.3">
      <c r="B25" s="3"/>
    </row>
    <row r="26" spans="2:2" x14ac:dyDescent="0.3">
      <c r="B26" s="3"/>
    </row>
    <row r="27" spans="2:2" x14ac:dyDescent="0.3">
      <c r="B27" s="3"/>
    </row>
    <row r="28" spans="2:2" x14ac:dyDescent="0.3">
      <c r="B28" s="3"/>
    </row>
    <row r="29" spans="2:2" x14ac:dyDescent="0.3">
      <c r="B29" s="3"/>
    </row>
    <row r="30" spans="2:2" x14ac:dyDescent="0.3">
      <c r="B30" s="3"/>
    </row>
    <row r="31" spans="2:2" x14ac:dyDescent="0.3">
      <c r="B31" s="3"/>
    </row>
    <row r="32" spans="2:2" x14ac:dyDescent="0.3"/>
    <row r="33" x14ac:dyDescent="0.3"/>
    <row r="34" x14ac:dyDescent="0.3"/>
    <row r="35" x14ac:dyDescent="0.3"/>
    <row r="36" x14ac:dyDescent="0.3"/>
    <row r="37" x14ac:dyDescent="0.3"/>
    <row r="38" x14ac:dyDescent="0.3"/>
    <row r="39" x14ac:dyDescent="0.3"/>
    <row r="40" x14ac:dyDescent="0.3"/>
    <row r="41" x14ac:dyDescent="0.3"/>
    <row r="42" x14ac:dyDescent="0.3"/>
    <row r="43" x14ac:dyDescent="0.3"/>
    <row r="44" x14ac:dyDescent="0.3"/>
    <row r="45" x14ac:dyDescent="0.3"/>
    <row r="46" x14ac:dyDescent="0.3"/>
    <row r="47" x14ac:dyDescent="0.3"/>
    <row r="62" x14ac:dyDescent="0.3"/>
    <row r="63" x14ac:dyDescent="0.3"/>
    <row r="64" x14ac:dyDescent="0.3"/>
    <row r="65" x14ac:dyDescent="0.3"/>
    <row r="66" x14ac:dyDescent="0.3"/>
    <row r="67" x14ac:dyDescent="0.3"/>
    <row r="68" x14ac:dyDescent="0.3"/>
    <row r="69" x14ac:dyDescent="0.3"/>
    <row r="70" x14ac:dyDescent="0.3"/>
    <row r="71" x14ac:dyDescent="0.3"/>
    <row r="72" x14ac:dyDescent="0.3"/>
    <row r="73" x14ac:dyDescent="0.3"/>
    <row r="74" x14ac:dyDescent="0.3"/>
    <row r="75" x14ac:dyDescent="0.3"/>
    <row r="76" x14ac:dyDescent="0.3"/>
  </sheetData>
  <phoneticPr fontId="2" type="noConversion"/>
  <conditionalFormatting sqref="L17:Q17 R45:W45 L31:W31 L1:Q2">
    <cfRule type="expression" dxfId="1" priority="3">
      <formula>MOD(ROW(),2)=0</formula>
    </cfRule>
  </conditionalFormatting>
  <conditionalFormatting sqref="H2">
    <cfRule type="expression" dxfId="0" priority="1">
      <formula>H2=400000000000000000000</formula>
    </cfRule>
    <cfRule type="expression" priority="2">
      <formula>H2=400000000000000000000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E7F1501-C84A-4A3F-A6E7-4E0AD9DD361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ProjectInformation</vt:lpstr>
      <vt:lpstr>AcrossReplicationsSummary</vt:lpstr>
      <vt:lpstr>DiscreteTimeStatsByRep</vt:lpstr>
      <vt:lpstr>ContinuousTimeStatsByRep</vt:lpstr>
      <vt:lpstr>CounterStatsByRep</vt:lpstr>
      <vt:lpstr>OutputStatsByRep</vt:lpstr>
      <vt:lpstr>FrequencyStatsByRep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Rockwell Automation</dc:creator>
  <cp:lastModifiedBy>Shiwei Pan</cp:lastModifiedBy>
  <cp:lastPrinted>2022-03-22T10:33:10Z</cp:lastPrinted>
  <dcterms:created xsi:type="dcterms:W3CDTF">2020-06-29T21:30:31Z</dcterms:created>
  <dcterms:modified xsi:type="dcterms:W3CDTF">2025-04-26T07:49:01Z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e14c1950-b3a8-4278-88f1-6df69d73b9d5_Enabled">
    <vt:lpwstr>true</vt:lpwstr>
  </property>
  <property fmtid="{D5CDD505-2E9C-101B-9397-08002B2CF9AE}" pid="3" name="MSIP_Label_e14c1950-b3a8-4278-88f1-6df69d73b9d5_SetDate">
    <vt:lpwstr>2024-01-31T15:04:47Z</vt:lpwstr>
  </property>
  <property fmtid="{D5CDD505-2E9C-101B-9397-08002B2CF9AE}" pid="4" name="MSIP_Label_e14c1950-b3a8-4278-88f1-6df69d73b9d5_Method">
    <vt:lpwstr>Standard</vt:lpwstr>
  </property>
  <property fmtid="{D5CDD505-2E9C-101B-9397-08002B2CF9AE}" pid="5" name="MSIP_Label_e14c1950-b3a8-4278-88f1-6df69d73b9d5_Name">
    <vt:lpwstr>e14c1950-b3a8-4278-88f1-6df69d73b9d5</vt:lpwstr>
  </property>
  <property fmtid="{D5CDD505-2E9C-101B-9397-08002B2CF9AE}" pid="6" name="MSIP_Label_e14c1950-b3a8-4278-88f1-6df69d73b9d5_SiteId">
    <vt:lpwstr>855b093e-7340-45c7-9f0c-96150415893e</vt:lpwstr>
  </property>
  <property fmtid="{D5CDD505-2E9C-101B-9397-08002B2CF9AE}" pid="7" name="MSIP_Label_e14c1950-b3a8-4278-88f1-6df69d73b9d5_ActionId">
    <vt:lpwstr>1067fc30-94ed-4383-8c96-2d26f0045600</vt:lpwstr>
  </property>
  <property fmtid="{D5CDD505-2E9C-101B-9397-08002B2CF9AE}" pid="8" name="MSIP_Label_e14c1950-b3a8-4278-88f1-6df69d73b9d5_ContentBits">
    <vt:lpwstr>0</vt:lpwstr>
  </property>
</Properties>
</file>