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gramming\Data-Science\model\production\Arena\Ex1\"/>
    </mc:Choice>
  </mc:AlternateContent>
  <xr:revisionPtr revIDLastSave="0" documentId="13_ncr:1_{EC3BA7A6-1D32-44D9-B100-76697003FD6C}" xr6:coauthVersionLast="47" xr6:coauthVersionMax="47" xr10:uidLastSave="{00000000-0000-0000-0000-000000000000}"/>
  <bookViews>
    <workbookView xWindow="1100" yWindow="1100" windowWidth="19200" windowHeight="1122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ContinuousTimeStatsByRep!$A$1:$L$26</definedName>
    <definedName name="ExternalData_1" localSheetId="4" hidden="1">CounterStatsByRep!$A$1:$G$2</definedName>
    <definedName name="ExternalData_1" localSheetId="2" hidden="1">DiscreteTimeStatsByRep!$A$1:$K$36</definedName>
    <definedName name="ExternalData_1" localSheetId="6" hidden="1">FrequencyStatsByRep!$A$1:$K$2</definedName>
    <definedName name="ExternalData_1" localSheetId="5" hidden="1">OutputStatsByRep!$A$1:$H$26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L18" i="20" s="1" a="1"/>
  <c r="L18" i="20" s="1"/>
  <c r="I11" i="20"/>
  <c r="I12" i="20"/>
  <c r="K3" i="20" s="1" a="1"/>
  <c r="K3" i="20" s="1"/>
  <c r="I13" i="20"/>
  <c r="K11" i="20" s="1" a="1"/>
  <c r="K11" i="20" s="1"/>
  <c r="I14" i="20"/>
  <c r="L2" i="20" s="1" a="1"/>
  <c r="L2" i="20" s="1"/>
  <c r="I15" i="20"/>
  <c r="P26" i="20" s="1" a="1"/>
  <c r="P26" i="20" s="1"/>
  <c r="I16" i="20"/>
  <c r="I17" i="20"/>
  <c r="I18" i="20"/>
  <c r="I19" i="20"/>
  <c r="I20" i="20"/>
  <c r="I21" i="20"/>
  <c r="I22" i="20"/>
  <c r="I23" i="20"/>
  <c r="I24" i="20"/>
  <c r="I25" i="20"/>
  <c r="I26" i="20"/>
  <c r="J2" i="20" a="1"/>
  <c r="J2" i="20"/>
  <c r="J3" i="20" a="1"/>
  <c r="J3" i="20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N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/>
  <c r="L10" i="20" a="1"/>
  <c r="L10" i="20" s="1"/>
  <c r="L26" i="20" a="1"/>
  <c r="L26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/>
  <c r="M24" i="20" a="1"/>
  <c r="M24" i="20"/>
  <c r="M25" i="20" a="1"/>
  <c r="M25" i="20" s="1"/>
  <c r="M26" i="20" a="1"/>
  <c r="M26" i="20" s="1"/>
  <c r="M2" i="18"/>
  <c r="M3" i="18"/>
  <c r="P2" i="18" s="1" a="1"/>
  <c r="P2" i="18" s="1"/>
  <c r="M4" i="18"/>
  <c r="M5" i="18"/>
  <c r="M6" i="18"/>
  <c r="M7" i="18"/>
  <c r="M8" i="18"/>
  <c r="M9" i="18"/>
  <c r="M10" i="18"/>
  <c r="M11" i="18"/>
  <c r="O11" i="18" s="1" a="1"/>
  <c r="O11" i="18" s="1"/>
  <c r="M12" i="18"/>
  <c r="M13" i="18"/>
  <c r="M14" i="18"/>
  <c r="M15" i="18"/>
  <c r="T10" i="18" s="1" a="1"/>
  <c r="T10" i="18" s="1"/>
  <c r="M16" i="18"/>
  <c r="M17" i="18"/>
  <c r="M18" i="18"/>
  <c r="P18" i="18" s="1" a="1"/>
  <c r="P18" i="18" s="1"/>
  <c r="M19" i="18"/>
  <c r="M20" i="18"/>
  <c r="M21" i="18"/>
  <c r="M22" i="18"/>
  <c r="M23" i="18"/>
  <c r="M24" i="18"/>
  <c r="M25" i="18"/>
  <c r="M26" i="18"/>
  <c r="N2" i="18" a="1"/>
  <c r="N2" i="18"/>
  <c r="N3" i="18" a="1"/>
  <c r="N3" i="18"/>
  <c r="N4" i="18" a="1"/>
  <c r="N4" i="18" s="1"/>
  <c r="N5" i="18" a="1"/>
  <c r="N5" i="18" s="1"/>
  <c r="N6" i="18" a="1"/>
  <c r="N6" i="18" s="1"/>
  <c r="N7" i="18" a="1"/>
  <c r="N7" i="18"/>
  <c r="N8" i="18" a="1"/>
  <c r="N8" i="18" s="1"/>
  <c r="N9" i="18" a="1"/>
  <c r="N9" i="18"/>
  <c r="N10" i="18" a="1"/>
  <c r="N10" i="18" s="1"/>
  <c r="N11" i="18" a="1"/>
  <c r="N11" i="18"/>
  <c r="N12" i="18" a="1"/>
  <c r="N12" i="18" s="1"/>
  <c r="N13" i="18" a="1"/>
  <c r="N13" i="18" s="1"/>
  <c r="N14" i="18" a="1"/>
  <c r="N14" i="18" s="1"/>
  <c r="N15" i="18" a="1"/>
  <c r="N15" i="18"/>
  <c r="N16" i="18" a="1"/>
  <c r="N16" i="18" s="1"/>
  <c r="N17" i="18" a="1"/>
  <c r="N17" i="18"/>
  <c r="N18" i="18" a="1"/>
  <c r="N18" i="18" s="1"/>
  <c r="N19" i="18" a="1"/>
  <c r="N19" i="18"/>
  <c r="N20" i="18" a="1"/>
  <c r="N20" i="18" s="1"/>
  <c r="N21" i="18" a="1"/>
  <c r="N21" i="18" s="1"/>
  <c r="N22" i="18" a="1"/>
  <c r="N22" i="18" s="1"/>
  <c r="N23" i="18" a="1"/>
  <c r="N23" i="18"/>
  <c r="N24" i="18" a="1"/>
  <c r="N24" i="18" s="1"/>
  <c r="N25" i="18" a="1"/>
  <c r="N25" i="18"/>
  <c r="N26" i="18" a="1"/>
  <c r="N26" i="18" s="1"/>
  <c r="Q2" i="18" a="1"/>
  <c r="Q2" i="18" s="1"/>
  <c r="Q3" i="18" a="1"/>
  <c r="Q3" i="18" s="1"/>
  <c r="Q4" i="18" a="1"/>
  <c r="Q4" i="18" s="1"/>
  <c r="Q5" i="18" a="1"/>
  <c r="Q5" i="18" s="1"/>
  <c r="Q6" i="18" a="1"/>
  <c r="Q6" i="18"/>
  <c r="Q7" i="18" a="1"/>
  <c r="Q7" i="18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/>
  <c r="Q16" i="18" a="1"/>
  <c r="Q16" i="18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/>
  <c r="Q23" i="18" a="1"/>
  <c r="Q23" i="18" s="1"/>
  <c r="Q24" i="18" a="1"/>
  <c r="Q24" i="18"/>
  <c r="Q25" i="18" a="1"/>
  <c r="Q25" i="18" s="1"/>
  <c r="Q26" i="18" a="1"/>
  <c r="Q26" i="18" s="1"/>
  <c r="L2" i="17"/>
  <c r="L3" i="17"/>
  <c r="L4" i="17"/>
  <c r="L5" i="17"/>
  <c r="L6" i="17"/>
  <c r="L7" i="17"/>
  <c r="L32" i="17"/>
  <c r="L8" i="17"/>
  <c r="L9" i="17"/>
  <c r="L10" i="17"/>
  <c r="L11" i="17"/>
  <c r="L12" i="17"/>
  <c r="L13" i="17"/>
  <c r="L33" i="17"/>
  <c r="L14" i="17"/>
  <c r="L15" i="17"/>
  <c r="L16" i="17"/>
  <c r="L17" i="17"/>
  <c r="L18" i="17"/>
  <c r="L19" i="17"/>
  <c r="L34" i="17"/>
  <c r="L20" i="17"/>
  <c r="L21" i="17"/>
  <c r="L22" i="17"/>
  <c r="L23" i="17"/>
  <c r="L24" i="17"/>
  <c r="L25" i="17"/>
  <c r="L35" i="17"/>
  <c r="L26" i="17"/>
  <c r="L27" i="17"/>
  <c r="L28" i="17"/>
  <c r="L29" i="17"/>
  <c r="L30" i="17"/>
  <c r="L31" i="17"/>
  <c r="L36" i="17"/>
  <c r="M2" i="17" a="1"/>
  <c r="M2" i="17" s="1"/>
  <c r="M3" i="17" a="1"/>
  <c r="M3" i="17" s="1"/>
  <c r="M4" i="17" a="1"/>
  <c r="M4" i="17" s="1"/>
  <c r="M5" i="17" a="1"/>
  <c r="M5" i="17"/>
  <c r="M6" i="17" a="1"/>
  <c r="M6" i="17" s="1"/>
  <c r="M7" i="17" a="1"/>
  <c r="M7" i="17" s="1"/>
  <c r="M32" i="17" a="1"/>
  <c r="M3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33" i="17" a="1"/>
  <c r="M3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34" i="17" a="1"/>
  <c r="M34" i="17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35" i="17" a="1"/>
  <c r="M35" i="17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6" i="17" a="1"/>
  <c r="M36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32" i="17" a="1"/>
  <c r="P32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33" i="17" a="1"/>
  <c r="P3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34" i="17" a="1"/>
  <c r="P34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35" i="17" a="1"/>
  <c r="P35" i="17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36" i="17" a="1"/>
  <c r="P36" i="17" s="1"/>
  <c r="G2" i="16"/>
  <c r="O21" i="20" l="1" a="1"/>
  <c r="O21" i="20" s="1"/>
  <c r="O5" i="20" a="1"/>
  <c r="O5" i="20" s="1"/>
  <c r="L17" i="20" a="1"/>
  <c r="L17" i="20" s="1"/>
  <c r="K19" i="20" a="1"/>
  <c r="K19" i="20" s="1"/>
  <c r="O13" i="20" a="1"/>
  <c r="O13" i="20" s="1"/>
  <c r="P12" i="20" a="1"/>
  <c r="P12" i="20" s="1"/>
  <c r="N2" i="20"/>
  <c r="N10" i="20"/>
  <c r="N26" i="20"/>
  <c r="N17" i="20"/>
  <c r="P10" i="20" a="1"/>
  <c r="P10" i="20" s="1"/>
  <c r="P9" i="20" a="1"/>
  <c r="P9" i="20" s="1"/>
  <c r="L11" i="20" a="1"/>
  <c r="L11" i="20" s="1"/>
  <c r="N11" i="20" s="1"/>
  <c r="L3" i="20" a="1"/>
  <c r="L3" i="20" s="1"/>
  <c r="N3" i="20" s="1"/>
  <c r="K20" i="20" a="1"/>
  <c r="K20" i="20" s="1"/>
  <c r="K12" i="20" a="1"/>
  <c r="K12" i="20" s="1"/>
  <c r="K4" i="20" a="1"/>
  <c r="K4" i="20" s="1"/>
  <c r="K26" i="20" a="1"/>
  <c r="K26" i="20" s="1"/>
  <c r="L24" i="20" a="1"/>
  <c r="L24" i="20" s="1"/>
  <c r="N24" i="20" s="1"/>
  <c r="L19" i="20" a="1"/>
  <c r="L19" i="20" s="1"/>
  <c r="N19" i="20" s="1"/>
  <c r="P19" i="20" a="1"/>
  <c r="P19" i="20" s="1"/>
  <c r="P11" i="20" a="1"/>
  <c r="P11" i="20" s="1"/>
  <c r="P3" i="20" a="1"/>
  <c r="P3" i="20" s="1"/>
  <c r="O20" i="20" a="1"/>
  <c r="O20" i="20" s="1"/>
  <c r="O12" i="20" a="1"/>
  <c r="O12" i="20" s="1"/>
  <c r="O4" i="20" a="1"/>
  <c r="O4" i="20" s="1"/>
  <c r="L25" i="20" a="1"/>
  <c r="L25" i="20" s="1"/>
  <c r="N25" i="20" s="1"/>
  <c r="P18" i="20" a="1"/>
  <c r="P18" i="20" s="1"/>
  <c r="L9" i="20" a="1"/>
  <c r="L9" i="20" s="1"/>
  <c r="N9" i="20" s="1"/>
  <c r="P25" i="20" a="1"/>
  <c r="P25" i="20" s="1"/>
  <c r="K25" i="20" a="1"/>
  <c r="K25" i="20" s="1"/>
  <c r="K17" i="20" a="1"/>
  <c r="K17" i="20" s="1"/>
  <c r="K9" i="20" a="1"/>
  <c r="K9" i="20" s="1"/>
  <c r="P24" i="20" a="1"/>
  <c r="P24" i="20" s="1"/>
  <c r="P16" i="20" a="1"/>
  <c r="P16" i="20" s="1"/>
  <c r="P8" i="20" a="1"/>
  <c r="P8" i="20" s="1"/>
  <c r="O25" i="20" a="1"/>
  <c r="O25" i="20" s="1"/>
  <c r="O17" i="20" a="1"/>
  <c r="O17" i="20" s="1"/>
  <c r="O9" i="20" a="1"/>
  <c r="O9" i="20" s="1"/>
  <c r="O11" i="20" a="1"/>
  <c r="O11" i="20" s="1"/>
  <c r="O10" i="20" a="1"/>
  <c r="O10" i="20" s="1"/>
  <c r="L23" i="20" a="1"/>
  <c r="L23" i="20" s="1"/>
  <c r="N23" i="20" s="1"/>
  <c r="L15" i="20" a="1"/>
  <c r="L15" i="20" s="1"/>
  <c r="N15" i="20" s="1"/>
  <c r="L7" i="20" a="1"/>
  <c r="L7" i="20" s="1"/>
  <c r="N7" i="20" s="1"/>
  <c r="K24" i="20" a="1"/>
  <c r="K24" i="20" s="1"/>
  <c r="K16" i="20" a="1"/>
  <c r="K16" i="20" s="1"/>
  <c r="K8" i="20" a="1"/>
  <c r="K8" i="20" s="1"/>
  <c r="O3" i="20" a="1"/>
  <c r="O3" i="20" s="1"/>
  <c r="O26" i="20" a="1"/>
  <c r="O26" i="20" s="1"/>
  <c r="O8" i="20" a="1"/>
  <c r="O8" i="20" s="1"/>
  <c r="K10" i="20" a="1"/>
  <c r="K10" i="20" s="1"/>
  <c r="L8" i="20" a="1"/>
  <c r="L8" i="20" s="1"/>
  <c r="N8" i="20" s="1"/>
  <c r="O24" i="20" a="1"/>
  <c r="O24" i="20" s="1"/>
  <c r="L22" i="20" a="1"/>
  <c r="L22" i="20" s="1"/>
  <c r="N22" i="20" s="1"/>
  <c r="L14" i="20" a="1"/>
  <c r="L14" i="20" s="1"/>
  <c r="N14" i="20" s="1"/>
  <c r="L6" i="20" a="1"/>
  <c r="L6" i="20" s="1"/>
  <c r="N6" i="20" s="1"/>
  <c r="K23" i="20" a="1"/>
  <c r="K23" i="20" s="1"/>
  <c r="K15" i="20" a="1"/>
  <c r="K15" i="20" s="1"/>
  <c r="K7" i="20" a="1"/>
  <c r="K7" i="20" s="1"/>
  <c r="P2" i="20" a="1"/>
  <c r="P2" i="20" s="1"/>
  <c r="P17" i="20" a="1"/>
  <c r="P17" i="20" s="1"/>
  <c r="P23" i="20" a="1"/>
  <c r="P23" i="20" s="1"/>
  <c r="P15" i="20" a="1"/>
  <c r="P15" i="20" s="1"/>
  <c r="O16" i="20" a="1"/>
  <c r="O16" i="20" s="1"/>
  <c r="P22" i="20" a="1"/>
  <c r="P22" i="20" s="1"/>
  <c r="P14" i="20" a="1"/>
  <c r="P14" i="20" s="1"/>
  <c r="P6" i="20" a="1"/>
  <c r="P6" i="20" s="1"/>
  <c r="O23" i="20" a="1"/>
  <c r="O23" i="20" s="1"/>
  <c r="O15" i="20" a="1"/>
  <c r="O15" i="20" s="1"/>
  <c r="O7" i="20" a="1"/>
  <c r="O7" i="20" s="1"/>
  <c r="K18" i="20" a="1"/>
  <c r="K18" i="20" s="1"/>
  <c r="L16" i="20" a="1"/>
  <c r="L16" i="20" s="1"/>
  <c r="N16" i="20" s="1"/>
  <c r="P7" i="20" a="1"/>
  <c r="P7" i="20" s="1"/>
  <c r="L21" i="20" a="1"/>
  <c r="L21" i="20" s="1"/>
  <c r="N21" i="20" s="1"/>
  <c r="L13" i="20" a="1"/>
  <c r="L13" i="20" s="1"/>
  <c r="N13" i="20" s="1"/>
  <c r="L5" i="20" a="1"/>
  <c r="L5" i="20" s="1"/>
  <c r="N5" i="20" s="1"/>
  <c r="K22" i="20" a="1"/>
  <c r="K22" i="20" s="1"/>
  <c r="K14" i="20" a="1"/>
  <c r="K14" i="20" s="1"/>
  <c r="K6" i="20" a="1"/>
  <c r="K6" i="20" s="1"/>
  <c r="O19" i="20" a="1"/>
  <c r="O19" i="20" s="1"/>
  <c r="O2" i="20" a="1"/>
  <c r="O2" i="20" s="1"/>
  <c r="O14" i="20" a="1"/>
  <c r="O14" i="20" s="1"/>
  <c r="O6" i="20" a="1"/>
  <c r="O6" i="20" s="1"/>
  <c r="K2" i="20" a="1"/>
  <c r="K2" i="20" s="1"/>
  <c r="P21" i="20" a="1"/>
  <c r="P21" i="20" s="1"/>
  <c r="P13" i="20" a="1"/>
  <c r="P13" i="20" s="1"/>
  <c r="O22" i="20" a="1"/>
  <c r="O22" i="20" s="1"/>
  <c r="L12" i="20" a="1"/>
  <c r="L12" i="20" s="1"/>
  <c r="N12" i="20" s="1"/>
  <c r="L4" i="20" a="1"/>
  <c r="L4" i="20" s="1"/>
  <c r="N4" i="20" s="1"/>
  <c r="K21" i="20" a="1"/>
  <c r="K21" i="20" s="1"/>
  <c r="K13" i="20" a="1"/>
  <c r="K13" i="20" s="1"/>
  <c r="K5" i="20" a="1"/>
  <c r="K5" i="20" s="1"/>
  <c r="O18" i="20" a="1"/>
  <c r="O18" i="20" s="1"/>
  <c r="P5" i="20" a="1"/>
  <c r="P5" i="20" s="1"/>
  <c r="L20" i="20" a="1"/>
  <c r="L20" i="20" s="1"/>
  <c r="N20" i="20" s="1"/>
  <c r="P20" i="20" a="1"/>
  <c r="P20" i="20" s="1"/>
  <c r="P4" i="20" a="1"/>
  <c r="P4" i="20" s="1"/>
  <c r="O19" i="18" a="1"/>
  <c r="O19" i="18" s="1"/>
  <c r="O3" i="18" a="1"/>
  <c r="O3" i="18" s="1"/>
  <c r="S25" i="18" a="1"/>
  <c r="S25" i="18" s="1"/>
  <c r="S21" i="18" a="1"/>
  <c r="S21" i="18" s="1"/>
  <c r="P20" i="18" a="1"/>
  <c r="P20" i="18" s="1"/>
  <c r="R2" i="18"/>
  <c r="S23" i="18" a="1"/>
  <c r="S23" i="18" s="1"/>
  <c r="S7" i="18" a="1"/>
  <c r="S7" i="18" s="1"/>
  <c r="P17" i="18" a="1"/>
  <c r="P17" i="18" s="1"/>
  <c r="R17" i="18" s="1"/>
  <c r="U17" i="18" s="1"/>
  <c r="S22" i="18" a="1"/>
  <c r="S22" i="18" s="1"/>
  <c r="S6" i="18" a="1"/>
  <c r="S6" i="18" s="1"/>
  <c r="P26" i="18" a="1"/>
  <c r="P26" i="18" s="1"/>
  <c r="R26" i="18" s="1"/>
  <c r="U26" i="18" s="1"/>
  <c r="P10" i="18" a="1"/>
  <c r="P10" i="18" s="1"/>
  <c r="R10" i="18" s="1"/>
  <c r="U10" i="18" s="1"/>
  <c r="T12" i="18" a="1"/>
  <c r="T12" i="18" s="1"/>
  <c r="S5" i="18" a="1"/>
  <c r="S5" i="18" s="1"/>
  <c r="S13" i="18" a="1"/>
  <c r="S13" i="18" s="1"/>
  <c r="T5" i="18" a="1"/>
  <c r="T5" i="18" s="1"/>
  <c r="R20" i="18"/>
  <c r="U20" i="18" s="1"/>
  <c r="R18" i="18"/>
  <c r="U18" i="18" s="1"/>
  <c r="T18" i="18" a="1"/>
  <c r="T18" i="18" s="1"/>
  <c r="O18" i="18" a="1"/>
  <c r="O18" i="18" s="1"/>
  <c r="O9" i="18" a="1"/>
  <c r="O9" i="18" s="1"/>
  <c r="P19" i="18" a="1"/>
  <c r="P19" i="18" s="1"/>
  <c r="R19" i="18" s="1"/>
  <c r="U19" i="18" s="1"/>
  <c r="P11" i="18" a="1"/>
  <c r="P11" i="18" s="1"/>
  <c r="R11" i="18" s="1"/>
  <c r="U11" i="18" s="1"/>
  <c r="P3" i="18" a="1"/>
  <c r="P3" i="18" s="1"/>
  <c r="R3" i="18" s="1"/>
  <c r="U3" i="18" s="1"/>
  <c r="O20" i="18" a="1"/>
  <c r="O20" i="18" s="1"/>
  <c r="O12" i="18" a="1"/>
  <c r="O12" i="18" s="1"/>
  <c r="O4" i="18" a="1"/>
  <c r="O4" i="18" s="1"/>
  <c r="T2" i="18" a="1"/>
  <c r="T2" i="18" s="1"/>
  <c r="T25" i="18" a="1"/>
  <c r="T25" i="18" s="1"/>
  <c r="O25" i="18" a="1"/>
  <c r="O25" i="18" s="1"/>
  <c r="U2" i="18"/>
  <c r="T19" i="18" a="1"/>
  <c r="T19" i="18" s="1"/>
  <c r="T11" i="18" a="1"/>
  <c r="T11" i="18" s="1"/>
  <c r="T3" i="18" a="1"/>
  <c r="T3" i="18" s="1"/>
  <c r="S20" i="18" a="1"/>
  <c r="S20" i="18" s="1"/>
  <c r="S12" i="18" a="1"/>
  <c r="S12" i="18" s="1"/>
  <c r="S4" i="18" a="1"/>
  <c r="S4" i="18" s="1"/>
  <c r="P25" i="18" a="1"/>
  <c r="P25" i="18" s="1"/>
  <c r="R25" i="18" s="1"/>
  <c r="U25" i="18" s="1"/>
  <c r="S26" i="18" a="1"/>
  <c r="S26" i="18" s="1"/>
  <c r="T16" i="18" a="1"/>
  <c r="T16" i="18" s="1"/>
  <c r="P7" i="18" a="1"/>
  <c r="P7" i="18" s="1"/>
  <c r="R7" i="18" s="1"/>
  <c r="U7" i="18" s="1"/>
  <c r="T7" i="18" a="1"/>
  <c r="T7" i="18" s="1"/>
  <c r="S24" i="18" a="1"/>
  <c r="S24" i="18" s="1"/>
  <c r="S16" i="18" a="1"/>
  <c r="S16" i="18" s="1"/>
  <c r="S8" i="18" a="1"/>
  <c r="S8" i="18" s="1"/>
  <c r="T26" i="18" a="1"/>
  <c r="T26" i="18" s="1"/>
  <c r="O10" i="18" a="1"/>
  <c r="O10" i="18" s="1"/>
  <c r="P16" i="18" a="1"/>
  <c r="P16" i="18" s="1"/>
  <c r="R16" i="18" s="1"/>
  <c r="U16" i="18" s="1"/>
  <c r="S17" i="18" a="1"/>
  <c r="S17" i="18" s="1"/>
  <c r="O16" i="18" a="1"/>
  <c r="O16" i="18" s="1"/>
  <c r="O23" i="18" a="1"/>
  <c r="O23" i="18" s="1"/>
  <c r="O15" i="18" a="1"/>
  <c r="O15" i="18" s="1"/>
  <c r="O7" i="18" a="1"/>
  <c r="O7" i="18" s="1"/>
  <c r="O26" i="18" a="1"/>
  <c r="O26" i="18" s="1"/>
  <c r="S18" i="18" a="1"/>
  <c r="S18" i="18" s="1"/>
  <c r="T24" i="18" a="1"/>
  <c r="T24" i="18" s="1"/>
  <c r="O24" i="18" a="1"/>
  <c r="O24" i="18" s="1"/>
  <c r="P6" i="18" a="1"/>
  <c r="P6" i="18" s="1"/>
  <c r="R6" i="18" s="1"/>
  <c r="U6" i="18" s="1"/>
  <c r="T22" i="18" a="1"/>
  <c r="T22" i="18" s="1"/>
  <c r="T14" i="18" a="1"/>
  <c r="T14" i="18" s="1"/>
  <c r="T6" i="18" a="1"/>
  <c r="T6" i="18" s="1"/>
  <c r="S15" i="18" a="1"/>
  <c r="S15" i="18" s="1"/>
  <c r="S19" i="18" a="1"/>
  <c r="S19" i="18" s="1"/>
  <c r="O2" i="18" a="1"/>
  <c r="O2" i="18" s="1"/>
  <c r="P24" i="18" a="1"/>
  <c r="P24" i="18" s="1"/>
  <c r="R24" i="18" s="1"/>
  <c r="U24" i="18" s="1"/>
  <c r="T8" i="18" a="1"/>
  <c r="T8" i="18" s="1"/>
  <c r="T23" i="18" a="1"/>
  <c r="T23" i="18" s="1"/>
  <c r="P21" i="18" a="1"/>
  <c r="P21" i="18" s="1"/>
  <c r="R21" i="18" s="1"/>
  <c r="U21" i="18" s="1"/>
  <c r="P13" i="18" a="1"/>
  <c r="P13" i="18" s="1"/>
  <c r="R13" i="18" s="1"/>
  <c r="U13" i="18" s="1"/>
  <c r="O22" i="18" a="1"/>
  <c r="O22" i="18" s="1"/>
  <c r="O14" i="18" a="1"/>
  <c r="O14" i="18" s="1"/>
  <c r="O6" i="18" a="1"/>
  <c r="O6" i="18" s="1"/>
  <c r="S11" i="18" a="1"/>
  <c r="S11" i="18" s="1"/>
  <c r="P9" i="18" a="1"/>
  <c r="P9" i="18" s="1"/>
  <c r="R9" i="18" s="1"/>
  <c r="U9" i="18" s="1"/>
  <c r="T9" i="18" a="1"/>
  <c r="T9" i="18" s="1"/>
  <c r="S2" i="18" a="1"/>
  <c r="S2" i="18" s="1"/>
  <c r="O17" i="18" a="1"/>
  <c r="O17" i="18" s="1"/>
  <c r="S9" i="18" a="1"/>
  <c r="S9" i="18" s="1"/>
  <c r="P23" i="18" a="1"/>
  <c r="P23" i="18" s="1"/>
  <c r="R23" i="18" s="1"/>
  <c r="U23" i="18" s="1"/>
  <c r="P15" i="18" a="1"/>
  <c r="P15" i="18" s="1"/>
  <c r="R15" i="18" s="1"/>
  <c r="U15" i="18" s="1"/>
  <c r="O8" i="18" a="1"/>
  <c r="O8" i="18" s="1"/>
  <c r="T15" i="18" a="1"/>
  <c r="T15" i="18" s="1"/>
  <c r="P22" i="18" a="1"/>
  <c r="P22" i="18" s="1"/>
  <c r="R22" i="18" s="1"/>
  <c r="U22" i="18" s="1"/>
  <c r="P14" i="18" a="1"/>
  <c r="P14" i="18" s="1"/>
  <c r="R14" i="18" s="1"/>
  <c r="U14" i="18" s="1"/>
  <c r="P5" i="18" a="1"/>
  <c r="P5" i="18" s="1"/>
  <c r="R5" i="18" s="1"/>
  <c r="U5" i="18" s="1"/>
  <c r="T21" i="18" a="1"/>
  <c r="T21" i="18" s="1"/>
  <c r="T13" i="18" a="1"/>
  <c r="T13" i="18" s="1"/>
  <c r="S14" i="18" a="1"/>
  <c r="S14" i="18" s="1"/>
  <c r="S3" i="18" a="1"/>
  <c r="S3" i="18" s="1"/>
  <c r="T17" i="18" a="1"/>
  <c r="T17" i="18" s="1"/>
  <c r="P8" i="18" a="1"/>
  <c r="P8" i="18" s="1"/>
  <c r="R8" i="18" s="1"/>
  <c r="U8" i="18" s="1"/>
  <c r="P12" i="18" a="1"/>
  <c r="P12" i="18" s="1"/>
  <c r="R12" i="18" s="1"/>
  <c r="U12" i="18" s="1"/>
  <c r="P4" i="18" a="1"/>
  <c r="P4" i="18" s="1"/>
  <c r="R4" i="18" s="1"/>
  <c r="U4" i="18" s="1"/>
  <c r="O21" i="18" a="1"/>
  <c r="O21" i="18" s="1"/>
  <c r="O13" i="18" a="1"/>
  <c r="O13" i="18" s="1"/>
  <c r="O5" i="18" a="1"/>
  <c r="O5" i="18" s="1"/>
  <c r="S10" i="18" a="1"/>
  <c r="S10" i="18" s="1"/>
  <c r="T20" i="18" a="1"/>
  <c r="T20" i="18" s="1"/>
  <c r="T4" i="18" a="1"/>
  <c r="T4" i="18" s="1"/>
  <c r="V13" i="17" a="1"/>
  <c r="V13" i="17" s="1"/>
  <c r="N33" i="17" a="1"/>
  <c r="N33" i="17" s="1"/>
  <c r="T33" i="17" a="1"/>
  <c r="T33" i="17" s="1"/>
  <c r="U33" i="17" a="1"/>
  <c r="U33" i="17" s="1"/>
  <c r="R33" i="17" a="1"/>
  <c r="R33" i="17" s="1"/>
  <c r="O33" i="17" a="1"/>
  <c r="O33" i="17" s="1"/>
  <c r="X33" i="17" a="1"/>
  <c r="X33" i="17" s="1"/>
  <c r="S33" i="17" a="1"/>
  <c r="S33" i="17" s="1"/>
  <c r="V33" i="17" a="1"/>
  <c r="V33" i="17" s="1"/>
  <c r="T31" i="17" a="1"/>
  <c r="T31" i="17" s="1"/>
  <c r="S6" i="17" a="1"/>
  <c r="S6" i="17" s="1"/>
  <c r="N11" i="17" a="1"/>
  <c r="N11" i="17" s="1"/>
  <c r="X8" i="17" a="1"/>
  <c r="X8" i="17" s="1"/>
  <c r="Y8" i="17" s="1"/>
  <c r="Q8" i="17" s="1"/>
  <c r="W8" i="17" s="1"/>
  <c r="V19" i="17" a="1"/>
  <c r="V19" i="17" s="1"/>
  <c r="N4" i="17" a="1"/>
  <c r="N4" i="17" s="1"/>
  <c r="T17" i="17" a="1"/>
  <c r="T17" i="17" s="1"/>
  <c r="R10" i="17" a="1"/>
  <c r="R10" i="17" s="1"/>
  <c r="R15" i="17" a="1"/>
  <c r="R15" i="17" s="1"/>
  <c r="O29" i="17" a="1"/>
  <c r="O29" i="17" s="1"/>
  <c r="N6" i="17" a="1"/>
  <c r="N6" i="17" s="1"/>
  <c r="R29" i="17" a="1"/>
  <c r="R29" i="17" s="1"/>
  <c r="T10" i="17" a="1"/>
  <c r="T10" i="17" s="1"/>
  <c r="R8" i="17" a="1"/>
  <c r="R8" i="17" s="1"/>
  <c r="R3" i="17" a="1"/>
  <c r="R3" i="17" s="1"/>
  <c r="R17" i="17" a="1"/>
  <c r="R17" i="17" s="1"/>
  <c r="T3" i="17" a="1"/>
  <c r="T3" i="17" s="1"/>
  <c r="O22" i="17" a="1"/>
  <c r="O22" i="17" s="1"/>
  <c r="N26" i="17" a="1"/>
  <c r="N26" i="17" s="1"/>
  <c r="X29" i="17" a="1"/>
  <c r="X29" i="17" s="1"/>
  <c r="Y29" i="17" s="1"/>
  <c r="Q29" i="17" s="1"/>
  <c r="W29" i="17" s="1"/>
  <c r="S26" i="17" a="1"/>
  <c r="S26" i="17" s="1"/>
  <c r="O15" i="17" a="1"/>
  <c r="O15" i="17" s="1"/>
  <c r="V27" i="17" a="1"/>
  <c r="V27" i="17" s="1"/>
  <c r="N27" i="17" a="1"/>
  <c r="N27" i="17" s="1"/>
  <c r="T27" i="17" a="1"/>
  <c r="T27" i="17" s="1"/>
  <c r="R27" i="17" a="1"/>
  <c r="R27" i="17" s="1"/>
  <c r="U27" i="17" a="1"/>
  <c r="U27" i="17" s="1"/>
  <c r="O27" i="17" a="1"/>
  <c r="O27" i="17" s="1"/>
  <c r="X27" i="17" a="1"/>
  <c r="X27" i="17" s="1"/>
  <c r="Y27" i="17" s="1"/>
  <c r="S27" i="17" a="1"/>
  <c r="S27" i="17" s="1"/>
  <c r="V5" i="17" a="1"/>
  <c r="V5" i="17" s="1"/>
  <c r="U21" i="17" a="1"/>
  <c r="U21" i="17" s="1"/>
  <c r="X22" i="17" a="1"/>
  <c r="X22" i="17" s="1"/>
  <c r="Y22" i="17" s="1"/>
  <c r="Y33" i="17"/>
  <c r="Q33" i="17" s="1"/>
  <c r="W33" i="17"/>
  <c r="R22" i="17" a="1"/>
  <c r="R22" i="17" s="1"/>
  <c r="V26" i="17" a="1"/>
  <c r="V26" i="17" s="1"/>
  <c r="S34" i="17" a="1"/>
  <c r="S34" i="17" s="1"/>
  <c r="O8" i="17" a="1"/>
  <c r="O8" i="17" s="1"/>
  <c r="S14" i="17" a="1"/>
  <c r="S14" i="17" s="1"/>
  <c r="U28" i="17" a="1"/>
  <c r="U28" i="17" s="1"/>
  <c r="U14" i="17" a="1"/>
  <c r="U14" i="17" s="1"/>
  <c r="N36" i="17" a="1"/>
  <c r="N36" i="17" s="1"/>
  <c r="V12" i="17" a="1"/>
  <c r="V12" i="17" s="1"/>
  <c r="V35" i="17" a="1"/>
  <c r="V35" i="17" s="1"/>
  <c r="S13" i="17" a="1"/>
  <c r="S13" i="17" s="1"/>
  <c r="N25" i="17" a="1"/>
  <c r="N25" i="17" s="1"/>
  <c r="T24" i="17" a="1"/>
  <c r="T24" i="17" s="1"/>
  <c r="R35" i="17" a="1"/>
  <c r="R35" i="17" s="1"/>
  <c r="X15" i="17" a="1"/>
  <c r="X15" i="17" s="1"/>
  <c r="Y15" i="17" s="1"/>
  <c r="U32" i="17" a="1"/>
  <c r="U32" i="17" s="1"/>
  <c r="V34" i="17" a="1"/>
  <c r="V34" i="17" s="1"/>
  <c r="N18" i="17" a="1"/>
  <c r="N18" i="17" s="1"/>
  <c r="V20" i="17" a="1"/>
  <c r="V20" i="17" s="1"/>
  <c r="U30" i="17" a="1"/>
  <c r="U30" i="17" s="1"/>
  <c r="U16" i="17" a="1"/>
  <c r="U16" i="17" s="1"/>
  <c r="X30" i="17" a="1"/>
  <c r="X30" i="17" s="1"/>
  <c r="Y30" i="17" s="1"/>
  <c r="X23" i="17" a="1"/>
  <c r="X23" i="17" s="1"/>
  <c r="Y23" i="17" s="1"/>
  <c r="X16" i="17" a="1"/>
  <c r="X16" i="17" s="1"/>
  <c r="Y16" i="17" s="1"/>
  <c r="X9" i="17" a="1"/>
  <c r="X9" i="17" s="1"/>
  <c r="Y9" i="17" s="1"/>
  <c r="X2" i="17" a="1"/>
  <c r="X2" i="17" s="1"/>
  <c r="Y2" i="17" s="1"/>
  <c r="O30" i="17" a="1"/>
  <c r="O30" i="17" s="1"/>
  <c r="O23" i="17" a="1"/>
  <c r="O23" i="17" s="1"/>
  <c r="O16" i="17" a="1"/>
  <c r="O16" i="17" s="1"/>
  <c r="O9" i="17" a="1"/>
  <c r="O9" i="17" s="1"/>
  <c r="O2" i="17" a="1"/>
  <c r="O2" i="17" s="1"/>
  <c r="N35" i="17" a="1"/>
  <c r="N35" i="17" s="1"/>
  <c r="N19" i="17" a="1"/>
  <c r="N19" i="17" s="1"/>
  <c r="N12" i="17" a="1"/>
  <c r="N12" i="17" s="1"/>
  <c r="N5" i="17" a="1"/>
  <c r="N5" i="17" s="1"/>
  <c r="V6" i="17" a="1"/>
  <c r="V6" i="17" s="1"/>
  <c r="U29" i="17" a="1"/>
  <c r="U29" i="17" s="1"/>
  <c r="U22" i="17" a="1"/>
  <c r="U22" i="17" s="1"/>
  <c r="U15" i="17" a="1"/>
  <c r="U15" i="17" s="1"/>
  <c r="U8" i="17" a="1"/>
  <c r="U8" i="17" s="1"/>
  <c r="T36" i="17" a="1"/>
  <c r="T36" i="17" s="1"/>
  <c r="T25" i="17" a="1"/>
  <c r="T25" i="17" s="1"/>
  <c r="T18" i="17" a="1"/>
  <c r="T18" i="17" s="1"/>
  <c r="T11" i="17" a="1"/>
  <c r="T11" i="17" s="1"/>
  <c r="T4" i="17" a="1"/>
  <c r="T4" i="17" s="1"/>
  <c r="S20" i="17" a="1"/>
  <c r="S20" i="17" s="1"/>
  <c r="S7" i="17" a="1"/>
  <c r="S7" i="17" s="1"/>
  <c r="R30" i="17" a="1"/>
  <c r="R30" i="17" s="1"/>
  <c r="R23" i="17" a="1"/>
  <c r="R23" i="17" s="1"/>
  <c r="R16" i="17" a="1"/>
  <c r="R16" i="17" s="1"/>
  <c r="R9" i="17" a="1"/>
  <c r="R9" i="17" s="1"/>
  <c r="R2" i="17" a="1"/>
  <c r="R2" i="17" s="1"/>
  <c r="X21" i="17" a="1"/>
  <c r="X21" i="17" s="1"/>
  <c r="Y21" i="17" s="1"/>
  <c r="O32" i="17" a="1"/>
  <c r="O32" i="17" s="1"/>
  <c r="N31" i="17" a="1"/>
  <c r="N31" i="17" s="1"/>
  <c r="N24" i="17" a="1"/>
  <c r="N24" i="17" s="1"/>
  <c r="N17" i="17" a="1"/>
  <c r="N17" i="17" s="1"/>
  <c r="N10" i="17" a="1"/>
  <c r="N10" i="17" s="1"/>
  <c r="N3" i="17" a="1"/>
  <c r="N3" i="17" s="1"/>
  <c r="O28" i="17" a="1"/>
  <c r="O28" i="17" s="1"/>
  <c r="V18" i="17" a="1"/>
  <c r="V18" i="17" s="1"/>
  <c r="T30" i="17" a="1"/>
  <c r="T30" i="17" s="1"/>
  <c r="T2" i="17" a="1"/>
  <c r="T2" i="17" s="1"/>
  <c r="S19" i="17" a="1"/>
  <c r="S19" i="17" s="1"/>
  <c r="S12" i="17" a="1"/>
  <c r="S12" i="17" s="1"/>
  <c r="S5" i="17" a="1"/>
  <c r="S5" i="17" s="1"/>
  <c r="R28" i="17" a="1"/>
  <c r="R28" i="17" s="1"/>
  <c r="R21" i="17" a="1"/>
  <c r="R21" i="17" s="1"/>
  <c r="R14" i="17" a="1"/>
  <c r="R14" i="17" s="1"/>
  <c r="R32" i="17" a="1"/>
  <c r="R32" i="17" s="1"/>
  <c r="O21" i="17" a="1"/>
  <c r="O21" i="17" s="1"/>
  <c r="V11" i="17" a="1"/>
  <c r="V11" i="17" s="1"/>
  <c r="T23" i="17" a="1"/>
  <c r="T23" i="17" s="1"/>
  <c r="S35" i="17" a="1"/>
  <c r="S35" i="17" s="1"/>
  <c r="X20" i="17" a="1"/>
  <c r="X20" i="17" s="1"/>
  <c r="Y20" i="17" s="1"/>
  <c r="X7" i="17" a="1"/>
  <c r="X7" i="17" s="1"/>
  <c r="Y7" i="17" s="1"/>
  <c r="O20" i="17" a="1"/>
  <c r="O20" i="17" s="1"/>
  <c r="O7" i="17" a="1"/>
  <c r="O7" i="17" s="1"/>
  <c r="N30" i="17" a="1"/>
  <c r="N30" i="17" s="1"/>
  <c r="N23" i="17" a="1"/>
  <c r="N23" i="17" s="1"/>
  <c r="N16" i="17" a="1"/>
  <c r="N16" i="17" s="1"/>
  <c r="N9" i="17" a="1"/>
  <c r="N9" i="17" s="1"/>
  <c r="N2" i="17" a="1"/>
  <c r="N2" i="17" s="1"/>
  <c r="X32" i="17" a="1"/>
  <c r="X32" i="17" s="1"/>
  <c r="Y32" i="17" s="1"/>
  <c r="Q32" i="17" s="1"/>
  <c r="W32" i="17" s="1"/>
  <c r="O14" i="17" a="1"/>
  <c r="O14" i="17" s="1"/>
  <c r="V25" i="17" a="1"/>
  <c r="V25" i="17" s="1"/>
  <c r="V4" i="17" a="1"/>
  <c r="V4" i="17" s="1"/>
  <c r="U7" i="17" a="1"/>
  <c r="U7" i="17" s="1"/>
  <c r="T16" i="17" a="1"/>
  <c r="T16" i="17" s="1"/>
  <c r="V31" i="17" a="1"/>
  <c r="V31" i="17" s="1"/>
  <c r="V24" i="17" a="1"/>
  <c r="V24" i="17" s="1"/>
  <c r="V17" i="17" a="1"/>
  <c r="V17" i="17" s="1"/>
  <c r="V10" i="17" a="1"/>
  <c r="V10" i="17" s="1"/>
  <c r="V3" i="17" a="1"/>
  <c r="V3" i="17" s="1"/>
  <c r="U26" i="17" a="1"/>
  <c r="U26" i="17" s="1"/>
  <c r="U34" i="17" a="1"/>
  <c r="U34" i="17" s="1"/>
  <c r="U13" i="17" a="1"/>
  <c r="U13" i="17" s="1"/>
  <c r="U6" i="17" a="1"/>
  <c r="U6" i="17" s="1"/>
  <c r="T29" i="17" a="1"/>
  <c r="T29" i="17" s="1"/>
  <c r="T22" i="17" a="1"/>
  <c r="T22" i="17" s="1"/>
  <c r="T15" i="17" a="1"/>
  <c r="T15" i="17" s="1"/>
  <c r="T8" i="17" a="1"/>
  <c r="T8" i="17" s="1"/>
  <c r="S36" i="17" a="1"/>
  <c r="S36" i="17" s="1"/>
  <c r="S25" i="17" a="1"/>
  <c r="S25" i="17" s="1"/>
  <c r="S18" i="17" a="1"/>
  <c r="S18" i="17" s="1"/>
  <c r="S11" i="17" a="1"/>
  <c r="S11" i="17" s="1"/>
  <c r="S4" i="17" a="1"/>
  <c r="S4" i="17" s="1"/>
  <c r="R20" i="17" a="1"/>
  <c r="R20" i="17" s="1"/>
  <c r="R7" i="17" a="1"/>
  <c r="R7" i="17" s="1"/>
  <c r="X14" i="17" a="1"/>
  <c r="X14" i="17" s="1"/>
  <c r="Y14" i="17" s="1"/>
  <c r="Q14" i="17" s="1"/>
  <c r="W14" i="17" s="1"/>
  <c r="V36" i="17" a="1"/>
  <c r="V36" i="17" s="1"/>
  <c r="U20" i="17" a="1"/>
  <c r="U20" i="17" s="1"/>
  <c r="T9" i="17" a="1"/>
  <c r="T9" i="17" s="1"/>
  <c r="X26" i="17" a="1"/>
  <c r="X26" i="17" s="1"/>
  <c r="Y26" i="17" s="1"/>
  <c r="X34" i="17" a="1"/>
  <c r="X34" i="17" s="1"/>
  <c r="Y34" i="17" s="1"/>
  <c r="X13" i="17" a="1"/>
  <c r="X13" i="17" s="1"/>
  <c r="Y13" i="17" s="1"/>
  <c r="X6" i="17" a="1"/>
  <c r="X6" i="17" s="1"/>
  <c r="Y6" i="17" s="1"/>
  <c r="O26" i="17" a="1"/>
  <c r="O26" i="17" s="1"/>
  <c r="O34" i="17" a="1"/>
  <c r="O34" i="17" s="1"/>
  <c r="O13" i="17" a="1"/>
  <c r="O13" i="17" s="1"/>
  <c r="O6" i="17" a="1"/>
  <c r="O6" i="17" s="1"/>
  <c r="N29" i="17" a="1"/>
  <c r="N29" i="17" s="1"/>
  <c r="N22" i="17" a="1"/>
  <c r="N22" i="17" s="1"/>
  <c r="N15" i="17" a="1"/>
  <c r="N15" i="17" s="1"/>
  <c r="N8" i="17" a="1"/>
  <c r="N8" i="17" s="1"/>
  <c r="V23" i="17" a="1"/>
  <c r="V23" i="17" s="1"/>
  <c r="V9" i="17" a="1"/>
  <c r="V9" i="17" s="1"/>
  <c r="V2" i="17" a="1"/>
  <c r="V2" i="17" s="1"/>
  <c r="U19" i="17" a="1"/>
  <c r="U19" i="17" s="1"/>
  <c r="U12" i="17" a="1"/>
  <c r="U12" i="17" s="1"/>
  <c r="U5" i="17" a="1"/>
  <c r="U5" i="17" s="1"/>
  <c r="T28" i="17" a="1"/>
  <c r="T28" i="17" s="1"/>
  <c r="T21" i="17" a="1"/>
  <c r="T21" i="17" s="1"/>
  <c r="T14" i="17" a="1"/>
  <c r="T14" i="17" s="1"/>
  <c r="T32" i="17" a="1"/>
  <c r="T32" i="17" s="1"/>
  <c r="S31" i="17" a="1"/>
  <c r="S31" i="17" s="1"/>
  <c r="S24" i="17" a="1"/>
  <c r="S24" i="17" s="1"/>
  <c r="S17" i="17" a="1"/>
  <c r="S17" i="17" s="1"/>
  <c r="S10" i="17" a="1"/>
  <c r="S10" i="17" s="1"/>
  <c r="S3" i="17" a="1"/>
  <c r="S3" i="17" s="1"/>
  <c r="R26" i="17" a="1"/>
  <c r="R26" i="17" s="1"/>
  <c r="R34" i="17" a="1"/>
  <c r="R34" i="17" s="1"/>
  <c r="R13" i="17" a="1"/>
  <c r="R13" i="17" s="1"/>
  <c r="R6" i="17" a="1"/>
  <c r="R6" i="17" s="1"/>
  <c r="V30" i="17" a="1"/>
  <c r="V30" i="17" s="1"/>
  <c r="V16" i="17" a="1"/>
  <c r="V16" i="17" s="1"/>
  <c r="U35" i="17" a="1"/>
  <c r="U35" i="17" s="1"/>
  <c r="X35" i="17" a="1"/>
  <c r="X35" i="17" s="1"/>
  <c r="Y35" i="17" s="1"/>
  <c r="X19" i="17" a="1"/>
  <c r="X19" i="17" s="1"/>
  <c r="Y19" i="17" s="1"/>
  <c r="X12" i="17" a="1"/>
  <c r="X12" i="17" s="1"/>
  <c r="Y12" i="17" s="1"/>
  <c r="X5" i="17" a="1"/>
  <c r="X5" i="17" s="1"/>
  <c r="Y5" i="17" s="1"/>
  <c r="O35" i="17" a="1"/>
  <c r="O35" i="17" s="1"/>
  <c r="O19" i="17" a="1"/>
  <c r="O19" i="17" s="1"/>
  <c r="O12" i="17" a="1"/>
  <c r="O12" i="17" s="1"/>
  <c r="O5" i="17" a="1"/>
  <c r="O5" i="17" s="1"/>
  <c r="N28" i="17" a="1"/>
  <c r="N28" i="17" s="1"/>
  <c r="N21" i="17" a="1"/>
  <c r="N21" i="17" s="1"/>
  <c r="N14" i="17" a="1"/>
  <c r="N14" i="17" s="1"/>
  <c r="N32" i="17" a="1"/>
  <c r="N32" i="17" s="1"/>
  <c r="X28" i="17" a="1"/>
  <c r="X28" i="17" s="1"/>
  <c r="Y28" i="17" s="1"/>
  <c r="Q28" i="17" s="1"/>
  <c r="W28" i="17" s="1"/>
  <c r="V22" i="17" a="1"/>
  <c r="V22" i="17" s="1"/>
  <c r="V8" i="17" a="1"/>
  <c r="V8" i="17" s="1"/>
  <c r="U25" i="17" a="1"/>
  <c r="U25" i="17" s="1"/>
  <c r="U18" i="17" a="1"/>
  <c r="U18" i="17" s="1"/>
  <c r="U11" i="17" a="1"/>
  <c r="U11" i="17" s="1"/>
  <c r="U4" i="17" a="1"/>
  <c r="U4" i="17" s="1"/>
  <c r="T20" i="17" a="1"/>
  <c r="T20" i="17" s="1"/>
  <c r="T7" i="17" a="1"/>
  <c r="T7" i="17" s="1"/>
  <c r="S30" i="17" a="1"/>
  <c r="S30" i="17" s="1"/>
  <c r="S23" i="17" a="1"/>
  <c r="S23" i="17" s="1"/>
  <c r="S16" i="17" a="1"/>
  <c r="S16" i="17" s="1"/>
  <c r="S9" i="17" a="1"/>
  <c r="S9" i="17" s="1"/>
  <c r="S2" i="17" a="1"/>
  <c r="S2" i="17" s="1"/>
  <c r="R19" i="17" a="1"/>
  <c r="R19" i="17" s="1"/>
  <c r="R12" i="17" a="1"/>
  <c r="R12" i="17" s="1"/>
  <c r="R5" i="17" a="1"/>
  <c r="R5" i="17" s="1"/>
  <c r="V29" i="17" a="1"/>
  <c r="V29" i="17" s="1"/>
  <c r="V15" i="17" a="1"/>
  <c r="V15" i="17" s="1"/>
  <c r="U36" i="17" a="1"/>
  <c r="U36" i="17" s="1"/>
  <c r="X36" i="17" a="1"/>
  <c r="X36" i="17" s="1"/>
  <c r="Y36" i="17" s="1"/>
  <c r="X25" i="17" a="1"/>
  <c r="X25" i="17" s="1"/>
  <c r="Y25" i="17" s="1"/>
  <c r="X18" i="17" a="1"/>
  <c r="X18" i="17" s="1"/>
  <c r="Y18" i="17" s="1"/>
  <c r="X11" i="17" a="1"/>
  <c r="X11" i="17" s="1"/>
  <c r="Y11" i="17" s="1"/>
  <c r="X4" i="17" a="1"/>
  <c r="X4" i="17" s="1"/>
  <c r="Y4" i="17" s="1"/>
  <c r="O36" i="17" a="1"/>
  <c r="O36" i="17" s="1"/>
  <c r="O25" i="17" a="1"/>
  <c r="O25" i="17" s="1"/>
  <c r="O18" i="17" a="1"/>
  <c r="O18" i="17" s="1"/>
  <c r="O11" i="17" a="1"/>
  <c r="O11" i="17" s="1"/>
  <c r="O4" i="17" a="1"/>
  <c r="O4" i="17" s="1"/>
  <c r="N20" i="17" a="1"/>
  <c r="N20" i="17" s="1"/>
  <c r="N7" i="17" a="1"/>
  <c r="N7" i="17" s="1"/>
  <c r="V21" i="17" a="1"/>
  <c r="V21" i="17" s="1"/>
  <c r="V32" i="17" a="1"/>
  <c r="V32" i="17" s="1"/>
  <c r="U24" i="17" a="1"/>
  <c r="U24" i="17" s="1"/>
  <c r="U17" i="17" a="1"/>
  <c r="U17" i="17" s="1"/>
  <c r="U10" i="17" a="1"/>
  <c r="U10" i="17" s="1"/>
  <c r="U3" i="17" a="1"/>
  <c r="U3" i="17" s="1"/>
  <c r="T26" i="17" a="1"/>
  <c r="T26" i="17" s="1"/>
  <c r="T34" i="17" a="1"/>
  <c r="T34" i="17" s="1"/>
  <c r="T13" i="17" a="1"/>
  <c r="T13" i="17" s="1"/>
  <c r="T6" i="17" a="1"/>
  <c r="T6" i="17" s="1"/>
  <c r="S29" i="17" a="1"/>
  <c r="S29" i="17" s="1"/>
  <c r="S22" i="17" a="1"/>
  <c r="S22" i="17" s="1"/>
  <c r="S15" i="17" a="1"/>
  <c r="S15" i="17" s="1"/>
  <c r="S8" i="17" a="1"/>
  <c r="S8" i="17" s="1"/>
  <c r="R36" i="17" a="1"/>
  <c r="R36" i="17" s="1"/>
  <c r="R25" i="17" a="1"/>
  <c r="R25" i="17" s="1"/>
  <c r="R18" i="17" a="1"/>
  <c r="R18" i="17" s="1"/>
  <c r="R11" i="17" a="1"/>
  <c r="R11" i="17" s="1"/>
  <c r="R4" i="17" a="1"/>
  <c r="R4" i="17" s="1"/>
  <c r="V28" i="17" a="1"/>
  <c r="V28" i="17" s="1"/>
  <c r="V14" i="17" a="1"/>
  <c r="V14" i="17" s="1"/>
  <c r="U31" i="17" a="1"/>
  <c r="U31" i="17" s="1"/>
  <c r="X31" i="17" a="1"/>
  <c r="X31" i="17" s="1"/>
  <c r="Y31" i="17" s="1"/>
  <c r="Q31" i="17" s="1"/>
  <c r="W31" i="17" s="1"/>
  <c r="X24" i="17" a="1"/>
  <c r="X24" i="17" s="1"/>
  <c r="Y24" i="17" s="1"/>
  <c r="X17" i="17" a="1"/>
  <c r="X17" i="17" s="1"/>
  <c r="Y17" i="17" s="1"/>
  <c r="X10" i="17" a="1"/>
  <c r="X10" i="17" s="1"/>
  <c r="Y10" i="17" s="1"/>
  <c r="X3" i="17" a="1"/>
  <c r="X3" i="17" s="1"/>
  <c r="Y3" i="17" s="1"/>
  <c r="O31" i="17" a="1"/>
  <c r="O31" i="17" s="1"/>
  <c r="O24" i="17" a="1"/>
  <c r="O24" i="17" s="1"/>
  <c r="O17" i="17" a="1"/>
  <c r="O17" i="17" s="1"/>
  <c r="O10" i="17" a="1"/>
  <c r="O10" i="17" s="1"/>
  <c r="O3" i="17" a="1"/>
  <c r="O3" i="17" s="1"/>
  <c r="N34" i="17" a="1"/>
  <c r="N34" i="17" s="1"/>
  <c r="N13" i="17" a="1"/>
  <c r="N13" i="17" s="1"/>
  <c r="V7" i="17" a="1"/>
  <c r="V7" i="17" s="1"/>
  <c r="U23" i="17" a="1"/>
  <c r="U23" i="17" s="1"/>
  <c r="U9" i="17" a="1"/>
  <c r="U9" i="17" s="1"/>
  <c r="U2" i="17" a="1"/>
  <c r="U2" i="17" s="1"/>
  <c r="T35" i="17" a="1"/>
  <c r="T35" i="17" s="1"/>
  <c r="T19" i="17" a="1"/>
  <c r="T19" i="17" s="1"/>
  <c r="T12" i="17" a="1"/>
  <c r="T12" i="17" s="1"/>
  <c r="T5" i="17" a="1"/>
  <c r="T5" i="17" s="1"/>
  <c r="S28" i="17" a="1"/>
  <c r="S28" i="17" s="1"/>
  <c r="S21" i="17" a="1"/>
  <c r="S21" i="17" s="1"/>
  <c r="S32" i="17" a="1"/>
  <c r="S32" i="17" s="1"/>
  <c r="R31" i="17" a="1"/>
  <c r="R31" i="17" s="1"/>
  <c r="R24" i="17" a="1"/>
  <c r="R24" i="17" s="1"/>
  <c r="Q7" i="17" l="1"/>
  <c r="W7" i="17" s="1"/>
  <c r="Q22" i="17"/>
  <c r="W22" i="17" s="1"/>
  <c r="Q2" i="17"/>
  <c r="W2" i="17" s="1"/>
  <c r="Q9" i="17"/>
  <c r="W9" i="17" s="1"/>
  <c r="Q4" i="17"/>
  <c r="W4" i="17" s="1"/>
  <c r="Q16" i="17"/>
  <c r="W16" i="17" s="1"/>
  <c r="Q17" i="17"/>
  <c r="W17" i="17" s="1"/>
  <c r="Q11" i="17"/>
  <c r="W11" i="17" s="1"/>
  <c r="Q23" i="17"/>
  <c r="W23" i="17" s="1"/>
  <c r="Q18" i="17"/>
  <c r="W18" i="17" s="1"/>
  <c r="Q12" i="17"/>
  <c r="W12" i="17" s="1"/>
  <c r="Q27" i="17"/>
  <c r="W27" i="17" s="1"/>
  <c r="Q34" i="17"/>
  <c r="W34" i="17" s="1"/>
  <c r="Q26" i="17"/>
  <c r="W26" i="17" s="1"/>
  <c r="Q36" i="17"/>
  <c r="W36" i="17" s="1"/>
  <c r="Q25" i="17"/>
  <c r="W25" i="17" s="1"/>
  <c r="Q19" i="17"/>
  <c r="W19" i="17" s="1"/>
  <c r="Q21" i="17"/>
  <c r="W21" i="17" s="1"/>
  <c r="Q13" i="17"/>
  <c r="W13" i="17" s="1"/>
  <c r="Q15" i="17"/>
  <c r="W15" i="17" s="1"/>
  <c r="Q6" i="17"/>
  <c r="W6" i="17" s="1"/>
  <c r="Q3" i="17"/>
  <c r="W3" i="17" s="1"/>
  <c r="Q30" i="17"/>
  <c r="W30" i="17" s="1"/>
  <c r="Q20" i="17"/>
  <c r="W20" i="17" s="1"/>
  <c r="Q24" i="17"/>
  <c r="W24" i="17" s="1"/>
  <c r="Q10" i="17"/>
  <c r="W10" i="17" s="1"/>
  <c r="Q5" i="17"/>
  <c r="W5" i="17" s="1"/>
  <c r="Q35" i="17"/>
  <c r="W35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e:\programming\data-science\model\production\arena\ex1\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e:\programming\data-science\model\production\arena\ex1\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e:\programming\data-science\model\production\arena\ex1\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e:\programming\data-science\model\production\arena\ex1\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e:\programming\data-science\model\production\arena\ex1\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e:\programming\data-science\model\production\arena\ex1\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<sst xmlns="http://schemas.openxmlformats.org/spreadsheetml/2006/main" count="637" uniqueCount="99">
  <si>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</si>
  <si>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</si>
  <si>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</si>
  <si>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</si>
  <si>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</si>
  <si>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</si>
  <si>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</si>
  <si>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</si>
  <si>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</si>
  <si>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</si>
  <si>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</si>
  <si>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</si>
  <si>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</si>
  <si>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</si>
  <si>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</si>
  <si>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</si>
  <si>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</si>
  <si>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</si>
  <si>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</si>
  <si>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</si>
  <si>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</si>
  <si>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</si>
  <si>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</si>
  <si>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</si>
  <si>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</si>
  <si>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</si>
  <si>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</si>
  <si>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</si>
  <si>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</si>
  <si>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</si>
  <si>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</si>
  <si>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</si>
  <si>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</si>
  <si>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</si>
  <si>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</si>
  <si>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</si>
  <si>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</si>
  <si>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</si>
  <si>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</si>
  <si>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</si>
  <si>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</si>
  <si>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</si>
  <si>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</si>
  <si>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</si>
  <si>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</si>
  <si>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</si>
  <si>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</si>
  <si>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</si>
  <si>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</si>
  <si>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</si>
  <si>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</si>
  <si>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</si>
  <si>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</si>
  <si>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</si>
  <si>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</si>
  <si>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</si>
  <si>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</si>
  <si>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</si>
  <si>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</si>
  <si>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</si>
  <si>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</si>
  <si>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</si>
  <si>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</si>
  <si>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</si>
  <si>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</si>
  <si>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</si>
  <si>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</si>
  <si>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</si>
  <si>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E:\programming\Data-Science\model\production\Arena\Ex1\1.p</t>
  </si>
  <si>
    <t>2025-04-28 16:07:16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</si>
  <si>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</si>
  <si>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</si>
  <si>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</si>
  <si>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</si>
  <si>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</si>
  <si>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</si>
  <si>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</si>
  <si>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</si>
  <si>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Process 3.Queue</t>
  </si>
  <si>
    <t>Waiting Time</t>
  </si>
  <si>
    <t>Queue</t>
  </si>
  <si>
    <t>WIP</t>
  </si>
  <si>
    <t>Number Waiting</t>
  </si>
  <si>
    <t>Resource 1</t>
  </si>
  <si>
    <t>Instantaneous Utilization</t>
  </si>
  <si>
    <t>Resource</t>
  </si>
  <si>
    <t>Number Busy</t>
  </si>
  <si>
    <t>Number Scheduled</t>
  </si>
  <si>
    <t>Part.NumberIn</t>
  </si>
  <si>
    <t>Number In</t>
  </si>
  <si>
    <t>Part.NumberOut</t>
  </si>
  <si>
    <t>Number Out</t>
  </si>
  <si>
    <t>Resource 1.NumberSeized</t>
  </si>
  <si>
    <t>Total Number Seized</t>
  </si>
  <si>
    <t>Resource 1.ScheduledUtilization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</si>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</sst>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1">
    <dxf>
      <numFmt numFmtId="176" formatCode="[=400000000000000000000]&quot;Null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numFmt numFmtId="178" formatCode="[=300000000000000000000]&quot;Correlated&quot;;;"/>
    </dxf>
    <dxf>
      <numFmt numFmtId="179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77" formatCode="[=400000000000000000000]&quot;NoCalc&quot;;;"/>
    </dxf>
    <dxf>
      <numFmt numFmtId="179" formatCode="[=200000000000000000000]&quot;Insufficient&quot;;;"/>
    </dxf>
    <dxf>
      <numFmt numFmtId="178" formatCode="[=300000000000000000000]&quot;Correlated&quot;;;"/>
    </dxf>
    <dxf>
      <numFmt numFmtId="180" formatCode="[=1]&quot;Yes&quot;;;"/>
    </dxf>
    <dxf>
      <numFmt numFmtId="180" formatCode="[=1]&quot;Yes&quot;;;"/>
    </dxf>
    <dxf>
      <numFmt numFmtId="181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82" formatCode="[&gt;100]&quot;Null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80" formatCode="[=1]&quot;Yes&quot;;;"/>
      <border>
        <left/>
        <right/>
        <top/>
        <bottom/>
      </border>
    </dxf>
    <dxf>
      <numFmt numFmtId="181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9" formatCode="[=200000000000000000000]&quot;Insufficient&quot;;;"/>
    </dxf>
    <dxf>
      <numFmt numFmtId="179" formatCode="[=200000000000000000000]&quot;Insufficient&quot;;;"/>
    </dxf>
    <dxf>
      <numFmt numFmtId="183" formatCode="[=4]&quot;Days&quot;;;"/>
    </dxf>
    <dxf>
      <numFmt numFmtId="184" formatCode="[=1]&quot;Seconds&quot;;;"/>
    </dxf>
    <dxf>
      <numFmt numFmtId="185" formatCode="[=2]&quot;Minutes&quot;;;"/>
    </dxf>
    <dxf>
      <numFmt numFmtId="186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1839236114" createdVersion="7" refreshedVersion="8" minRefreshableVersion="3" recordCount="35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1">
        <s v="Part"/>
        <s v="Process 3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.0671074684852999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0.80014383881825801"/>
    </cacheField>
    <cacheField name="Maximum" numFmtId="0">
      <sharedItems containsSemiMixedTypes="0" containsString="0" containsNumber="1" minValue="0" maxValue="1.74220680959206"/>
    </cacheField>
    <cacheField name="NumberObservations" numFmtId="0">
      <sharedItems containsSemiMixedTypes="0" containsString="0" containsNumber="1" containsInteger="1" minValue="5986" maxValue="6014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1.063684060035258"/>
    </cacheField>
    <cacheField name="StDevOfAverage" numFmtId="0">
      <sharedItems containsSemiMixedTypes="0" containsString="0" containsNumber="1" minValue="0" maxValue="2.4676533793142343E-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3.0639963611403414E-3"/>
    </cacheField>
    <cacheField name="MinimumAverage" numFmtId="0">
      <sharedItems containsSemiMixedTypes="0" containsString="0" containsNumber="1" minValue="0" maxValue="1.0605139121415601"/>
    </cacheField>
    <cacheField name="MaximumAverage" numFmtId="0">
      <sharedItems containsSemiMixedTypes="0" containsString="0" containsNumber="1" minValue="0" maxValue="1.0671074684852999"/>
    </cacheField>
    <cacheField name="OverallMinimum" numFmtId="0">
      <sharedItems containsSemiMixedTypes="0" containsString="0" containsNumber="1" minValue="0" maxValue="0.80000921539613001"/>
    </cacheField>
    <cacheField name="OverallMaximum" numFmtId="0">
      <sharedItems containsSemiMixedTypes="0" containsString="0" containsNumber="1" minValue="0" maxValue="1.74220680959206"/>
    </cacheField>
    <cacheField name="AverageNumberObservations" numFmtId="0">
      <sharedItems containsSemiMixedTypes="0" containsString="0" containsNumber="1" containsInteger="1" minValue="5994" maxValue="5994"/>
    </cacheField>
    <cacheField name="SummaryHalfWidth" numFmtId="0">
      <sharedItems containsSemiMixedTypes="0" containsString="0" containsNumber="1" minValue="0" maxValue="3.0639963611403414E-3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1839699076" createdVersion="7" refreshedVersion="8" minRefreshableVersion="3" recordCount="2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1">
        <s v="Part.NumberIn"/>
        <s v="Part.NumberOut"/>
        <s v="Resource 1.NumberSeized"/>
        <s v="Resource 1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69845264979938304" maxValue="601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0.70108802618033716" maxValue="5994"/>
    </cacheField>
    <cacheField name="StandardDeviation" numFmtId="0">
      <sharedItems containsSemiMixedTypes="0" containsString="0" containsNumber="1" minValue="1.6018493040346759E-3" maxValue="11.89537725337031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9889586113676122E-3" maxValue="14.770061680561895"/>
    </cacheField>
    <cacheField name="Minimum" numFmtId="0">
      <sharedItems containsSemiMixedTypes="0" containsString="0" containsNumber="1" minValue="0.69845264979938304" maxValue="5986"/>
    </cacheField>
    <cacheField name="Maximum" numFmtId="0">
      <sharedItems containsSemiMixedTypes="0" containsString="0" containsNumber="1" minValue="0.70256773538478401" maxValue="60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1840509262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1841435185" createdVersion="7" refreshedVersion="8" minRefreshableVersion="3" recordCount="2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6">
        <s v="Part"/>
        <s v="Process 3.Queue"/>
        <s v="Resource 1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7.0247715330122298E-3" maxValue="1"/>
    </cacheField>
    <cacheField name="BatchMeansHalfWidth" numFmtId="0">
      <sharedItems containsSemiMixedTypes="0" containsString="0" containsNumber="1" minValue="9.1675090515611795E-4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2"/>
    </cacheField>
    <cacheField name="LastRecordedValue" numFmtId="0">
      <sharedItems containsSemiMixedTypes="0" containsString="0" containsNumber="1" containsInteger="1" minValue="0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7.2883951199388623E-3" maxValue="1"/>
    </cacheField>
    <cacheField name="StDevOfAverage" numFmtId="0">
      <sharedItems containsSemiMixedTypes="0" containsString="0" containsNumber="1" minValue="0" maxValue="1.7756154639777132E-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2047177962749988E-3"/>
    </cacheField>
    <cacheField name="MinimumAverage" numFmtId="0">
      <sharedItems containsSemiMixedTypes="0" containsString="0" containsNumber="1" minValue="7.0247715330122298E-3" maxValue="1"/>
    </cacheField>
    <cacheField name="MaximumAverage" numFmtId="0">
      <sharedItems containsSemiMixedTypes="0" containsString="0" containsNumber="1" minValue="7.6846745708415197E-3" maxValue="1"/>
    </cacheField>
    <cacheField name="SummaryHalfWidth" numFmtId="0">
      <sharedItems containsSemiMixedTypes="0" containsString="0" containsNumber="1" minValue="0" maxValue="2.2047177962749988E-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5.671841898147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s v="2025-04-28 16:07:16"/>
    <n v="1"/>
    <x v="0"/>
    <x v="0"/>
    <x v="0"/>
    <n v="0"/>
    <n v="0"/>
    <n v="0"/>
    <n v="0"/>
    <n v="5996"/>
    <s v="Unnamed ProjectPartNVA TimeEntity"/>
    <n v="5"/>
    <n v="0"/>
    <n v="0"/>
    <n v="0.95"/>
    <n v="0"/>
    <n v="0"/>
    <n v="0"/>
    <n v="0"/>
    <n v="0"/>
    <n v="5994"/>
    <n v="0"/>
    <n v="5"/>
    <n v="1"/>
  </r>
  <r>
    <x v="0"/>
    <s v="2025-04-28 16:07:16"/>
    <n v="1"/>
    <x v="0"/>
    <x v="1"/>
    <x v="0"/>
    <n v="0"/>
    <n v="0"/>
    <n v="0"/>
    <n v="0"/>
    <n v="5996"/>
    <s v="Unnamed ProjectPartOther TimeEntity"/>
    <n v="5"/>
    <n v="0"/>
    <n v="0"/>
    <n v="0.95"/>
    <n v="0"/>
    <n v="0"/>
    <n v="0"/>
    <n v="0"/>
    <n v="0"/>
    <n v="5994"/>
    <n v="0"/>
    <n v="5"/>
    <n v="1"/>
  </r>
  <r>
    <x v="0"/>
    <s v="2025-04-28 16:07:16"/>
    <n v="1"/>
    <x v="0"/>
    <x v="2"/>
    <x v="0"/>
    <n v="1.0641474699170701"/>
    <n v="4.6790981427751004E-3"/>
    <n v="0.80009647850420196"/>
    <n v="1.74220680959206"/>
    <n v="5996"/>
    <s v="Unnamed ProjectPartTotal TimeEntity"/>
    <n v="5"/>
    <n v="1.063684060035258"/>
    <n v="2.4676533793142343E-3"/>
    <n v="0.95"/>
    <n v="3.0639963611403414E-3"/>
    <n v="1.0605139121415601"/>
    <n v="1.0671074684852999"/>
    <n v="0.80000921539613001"/>
    <n v="1.74220680959206"/>
    <n v="5994"/>
    <n v="3.0639963611403414E-3"/>
    <n v="5"/>
    <n v="1"/>
  </r>
  <r>
    <x v="0"/>
    <s v="2025-04-28 16:07:16"/>
    <n v="1"/>
    <x v="0"/>
    <x v="3"/>
    <x v="0"/>
    <n v="0"/>
    <n v="0"/>
    <n v="0"/>
    <n v="0"/>
    <n v="5996"/>
    <s v="Unnamed ProjectPartTransfer TimeEntity"/>
    <n v="5"/>
    <n v="0"/>
    <n v="0"/>
    <n v="0.95"/>
    <n v="0"/>
    <n v="0"/>
    <n v="0"/>
    <n v="0"/>
    <n v="0"/>
    <n v="5994"/>
    <n v="0"/>
    <n v="5"/>
    <n v="1"/>
  </r>
  <r>
    <x v="0"/>
    <s v="2025-04-28 16:07:16"/>
    <n v="1"/>
    <x v="0"/>
    <x v="4"/>
    <x v="0"/>
    <n v="1.05317792995828"/>
    <n v="3E+20"/>
    <n v="0.80009647850420196"/>
    <n v="1.30593560272973"/>
    <n v="5996"/>
    <s v="Unnamed ProjectPartVA TimeEntity"/>
    <n v="5"/>
    <n v="1.052737727881158"/>
    <n v="2.1386715662187234E-3"/>
    <n v="0.95"/>
    <n v="2.6555114877558459E-3"/>
    <n v="1.0499538747610599"/>
    <n v="1.05555349736308"/>
    <n v="0.80000921539613001"/>
    <n v="1.3059593485086201"/>
    <n v="5994"/>
    <n v="2.6555114877558459E-3"/>
    <n v="5"/>
    <n v="1"/>
  </r>
  <r>
    <x v="0"/>
    <s v="2025-04-28 16:07:16"/>
    <n v="1"/>
    <x v="0"/>
    <x v="5"/>
    <x v="0"/>
    <n v="1.09695399587966E-2"/>
    <n v="1.61593025810485E-3"/>
    <n v="0"/>
    <n v="0.60800735163957098"/>
    <n v="5996"/>
    <s v="Unnamed ProjectPartWait TimeEntity"/>
    <n v="5"/>
    <n v="1.0946332154103041E-2"/>
    <n v="3.7189582506585203E-4"/>
    <n v="0.95"/>
    <n v="4.6176965706655335E-4"/>
    <n v="1.05600373805095E-2"/>
    <n v="1.15539711222141E-2"/>
    <n v="0"/>
    <n v="0.60800735163957098"/>
    <n v="5994"/>
    <n v="4.6176965706655335E-4"/>
    <n v="5"/>
    <n v="1"/>
  </r>
  <r>
    <x v="0"/>
    <s v="2025-04-28 16:07:16"/>
    <n v="2"/>
    <x v="0"/>
    <x v="0"/>
    <x v="0"/>
    <n v="0"/>
    <n v="0"/>
    <n v="0"/>
    <n v="0"/>
    <n v="5987"/>
    <s v="Unnamed ProjectPartNVA TimeEntity"/>
    <n v="5"/>
    <n v="0"/>
    <n v="0"/>
    <n v="0.95"/>
    <n v="0"/>
    <n v="0"/>
    <n v="0"/>
    <n v="0"/>
    <n v="0"/>
    <n v="5994"/>
    <n v="0"/>
    <n v="5"/>
    <n v="1"/>
  </r>
  <r>
    <x v="0"/>
    <s v="2025-04-28 16:07:16"/>
    <n v="2"/>
    <x v="0"/>
    <x v="1"/>
    <x v="0"/>
    <n v="0"/>
    <n v="0"/>
    <n v="0"/>
    <n v="0"/>
    <n v="5987"/>
    <s v="Unnamed ProjectPartOther TimeEntity"/>
    <n v="5"/>
    <n v="0"/>
    <n v="0"/>
    <n v="0.95"/>
    <n v="0"/>
    <n v="0"/>
    <n v="0"/>
    <n v="0"/>
    <n v="0"/>
    <n v="5994"/>
    <n v="0"/>
    <n v="5"/>
    <n v="1"/>
  </r>
  <r>
    <x v="0"/>
    <s v="2025-04-28 16:07:16"/>
    <n v="2"/>
    <x v="0"/>
    <x v="2"/>
    <x v="0"/>
    <n v="1.0643543483481399"/>
    <n v="3.9849725775882999E-3"/>
    <n v="0.80002118194715899"/>
    <n v="1.61349731911105"/>
    <n v="5987"/>
    <s v="Unnamed ProjectPartTotal TimeEntity"/>
    <n v="5"/>
    <n v="1.063684060035258"/>
    <n v="2.4676533793142343E-3"/>
    <n v="0.95"/>
    <n v="3.0639963611403414E-3"/>
    <n v="1.0605139121415601"/>
    <n v="1.0671074684852999"/>
    <n v="0.80000921539613001"/>
    <n v="1.74220680959206"/>
    <n v="5994"/>
    <n v="3.0639963611403414E-3"/>
    <n v="5"/>
    <n v="1"/>
  </r>
  <r>
    <x v="0"/>
    <s v="2025-04-28 16:07:16"/>
    <n v="2"/>
    <x v="0"/>
    <x v="3"/>
    <x v="0"/>
    <n v="0"/>
    <n v="0"/>
    <n v="0"/>
    <n v="0"/>
    <n v="5987"/>
    <s v="Unnamed ProjectPartTransfer TimeEntity"/>
    <n v="5"/>
    <n v="0"/>
    <n v="0"/>
    <n v="0.95"/>
    <n v="0"/>
    <n v="0"/>
    <n v="0"/>
    <n v="0"/>
    <n v="0"/>
    <n v="5994"/>
    <n v="0"/>
    <n v="5"/>
    <n v="1"/>
  </r>
  <r>
    <x v="0"/>
    <s v="2025-04-28 16:07:16"/>
    <n v="2"/>
    <x v="0"/>
    <x v="4"/>
    <x v="0"/>
    <n v="1.0535768529538201"/>
    <n v="3.7621928321048101E-3"/>
    <n v="0.80002118194715899"/>
    <n v="1.3059593485086201"/>
    <n v="5987"/>
    <s v="Unnamed ProjectPartVA TimeEntity"/>
    <n v="5"/>
    <n v="1.052737727881158"/>
    <n v="2.1386715662187234E-3"/>
    <n v="0.95"/>
    <n v="2.6555114877558459E-3"/>
    <n v="1.0499538747610599"/>
    <n v="1.05555349736308"/>
    <n v="0.80000921539613001"/>
    <n v="1.3059593485086201"/>
    <n v="5994"/>
    <n v="2.6555114877558459E-3"/>
    <n v="5"/>
    <n v="1"/>
  </r>
  <r>
    <x v="0"/>
    <s v="2025-04-28 16:07:16"/>
    <n v="2"/>
    <x v="0"/>
    <x v="5"/>
    <x v="0"/>
    <n v="1.0777495394328001E-2"/>
    <n v="1.4604910679258799E-3"/>
    <n v="0"/>
    <n v="0.60309707317355798"/>
    <n v="5987"/>
    <s v="Unnamed ProjectPartWait TimeEntity"/>
    <n v="5"/>
    <n v="1.0946332154103041E-2"/>
    <n v="3.7189582506585203E-4"/>
    <n v="0.95"/>
    <n v="4.6176965706655335E-4"/>
    <n v="1.05600373805095E-2"/>
    <n v="1.15539711222141E-2"/>
    <n v="0"/>
    <n v="0.60800735163957098"/>
    <n v="5994"/>
    <n v="4.6176965706655335E-4"/>
    <n v="5"/>
    <n v="1"/>
  </r>
  <r>
    <x v="0"/>
    <s v="2025-04-28 16:07:16"/>
    <n v="3"/>
    <x v="0"/>
    <x v="0"/>
    <x v="0"/>
    <n v="0"/>
    <n v="0"/>
    <n v="0"/>
    <n v="0"/>
    <n v="6014"/>
    <s v="Unnamed ProjectPartNVA TimeEntity"/>
    <n v="5"/>
    <n v="0"/>
    <n v="0"/>
    <n v="0.95"/>
    <n v="0"/>
    <n v="0"/>
    <n v="0"/>
    <n v="0"/>
    <n v="0"/>
    <n v="5994"/>
    <n v="0"/>
    <n v="5"/>
    <n v="1"/>
  </r>
  <r>
    <x v="0"/>
    <s v="2025-04-28 16:07:16"/>
    <n v="3"/>
    <x v="0"/>
    <x v="1"/>
    <x v="0"/>
    <n v="0"/>
    <n v="0"/>
    <n v="0"/>
    <n v="0"/>
    <n v="6014"/>
    <s v="Unnamed ProjectPartOther TimeEntity"/>
    <n v="5"/>
    <n v="0"/>
    <n v="0"/>
    <n v="0.95"/>
    <n v="0"/>
    <n v="0"/>
    <n v="0"/>
    <n v="0"/>
    <n v="0"/>
    <n v="5994"/>
    <n v="0"/>
    <n v="5"/>
    <n v="1"/>
  </r>
  <r>
    <x v="0"/>
    <s v="2025-04-28 16:07:16"/>
    <n v="3"/>
    <x v="0"/>
    <x v="2"/>
    <x v="0"/>
    <n v="1.0622971012842199"/>
    <n v="4.2799347889059796E-3"/>
    <n v="0.80014383881825801"/>
    <n v="1.6248655943600201"/>
    <n v="6014"/>
    <s v="Unnamed ProjectPartTotal TimeEntity"/>
    <n v="5"/>
    <n v="1.063684060035258"/>
    <n v="2.4676533793142343E-3"/>
    <n v="0.95"/>
    <n v="3.0639963611403414E-3"/>
    <n v="1.0605139121415601"/>
    <n v="1.0671074684852999"/>
    <n v="0.80000921539613001"/>
    <n v="1.74220680959206"/>
    <n v="5994"/>
    <n v="3.0639963611403414E-3"/>
    <n v="5"/>
    <n v="1"/>
  </r>
  <r>
    <x v="0"/>
    <s v="2025-04-28 16:07:16"/>
    <n v="3"/>
    <x v="0"/>
    <x v="3"/>
    <x v="0"/>
    <n v="0"/>
    <n v="0"/>
    <n v="0"/>
    <n v="0"/>
    <n v="6014"/>
    <s v="Unnamed ProjectPartTransfer TimeEntity"/>
    <n v="5"/>
    <n v="0"/>
    <n v="0"/>
    <n v="0.95"/>
    <n v="0"/>
    <n v="0"/>
    <n v="0"/>
    <n v="0"/>
    <n v="0"/>
    <n v="5994"/>
    <n v="0"/>
    <n v="5"/>
    <n v="1"/>
  </r>
  <r>
    <x v="0"/>
    <s v="2025-04-28 16:07:16"/>
    <n v="3"/>
    <x v="0"/>
    <x v="4"/>
    <x v="0"/>
    <n v="1.05142648436955"/>
    <n v="3.51915826919165E-3"/>
    <n v="0.80014383881825801"/>
    <n v="1.30579171231057"/>
    <n v="6014"/>
    <s v="Unnamed ProjectPartVA TimeEntity"/>
    <n v="5"/>
    <n v="1.052737727881158"/>
    <n v="2.1386715662187234E-3"/>
    <n v="0.95"/>
    <n v="2.6555114877558459E-3"/>
    <n v="1.0499538747610599"/>
    <n v="1.05555349736308"/>
    <n v="0.80000921539613001"/>
    <n v="1.3059593485086201"/>
    <n v="5994"/>
    <n v="2.6555114877558459E-3"/>
    <n v="5"/>
    <n v="1"/>
  </r>
  <r>
    <x v="0"/>
    <s v="2025-04-28 16:07:16"/>
    <n v="3"/>
    <x v="0"/>
    <x v="5"/>
    <x v="0"/>
    <n v="1.0870616914667E-2"/>
    <n v="1.2544227636963E-3"/>
    <n v="0"/>
    <n v="0.37991013349255798"/>
    <n v="6014"/>
    <s v="Unnamed ProjectPartWait TimeEntity"/>
    <n v="5"/>
    <n v="1.0946332154103041E-2"/>
    <n v="3.7189582506585203E-4"/>
    <n v="0.95"/>
    <n v="4.6176965706655335E-4"/>
    <n v="1.05600373805095E-2"/>
    <n v="1.15539711222141E-2"/>
    <n v="0"/>
    <n v="0.60800735163957098"/>
    <n v="5994"/>
    <n v="4.6176965706655335E-4"/>
    <n v="5"/>
    <n v="1"/>
  </r>
  <r>
    <x v="0"/>
    <s v="2025-04-28 16:07:16"/>
    <n v="4"/>
    <x v="0"/>
    <x v="0"/>
    <x v="0"/>
    <n v="0"/>
    <n v="0"/>
    <n v="0"/>
    <n v="0"/>
    <n v="5986"/>
    <s v="Unnamed ProjectPartNVA TimeEntity"/>
    <n v="5"/>
    <n v="0"/>
    <n v="0"/>
    <n v="0.95"/>
    <n v="0"/>
    <n v="0"/>
    <n v="0"/>
    <n v="0"/>
    <n v="0"/>
    <n v="5994"/>
    <n v="0"/>
    <n v="5"/>
    <n v="1"/>
  </r>
  <r>
    <x v="0"/>
    <s v="2025-04-28 16:07:16"/>
    <n v="4"/>
    <x v="0"/>
    <x v="1"/>
    <x v="0"/>
    <n v="0"/>
    <n v="0"/>
    <n v="0"/>
    <n v="0"/>
    <n v="5986"/>
    <s v="Unnamed ProjectPartOther TimeEntity"/>
    <n v="5"/>
    <n v="0"/>
    <n v="0"/>
    <n v="0.95"/>
    <n v="0"/>
    <n v="0"/>
    <n v="0"/>
    <n v="0"/>
    <n v="0"/>
    <n v="5994"/>
    <n v="0"/>
    <n v="5"/>
    <n v="1"/>
  </r>
  <r>
    <x v="0"/>
    <s v="2025-04-28 16:07:16"/>
    <n v="4"/>
    <x v="0"/>
    <x v="2"/>
    <x v="0"/>
    <n v="1.0671074684852999"/>
    <n v="3.51332788585283E-3"/>
    <n v="0.80000921539613001"/>
    <n v="1.6470544395092499"/>
    <n v="5986"/>
    <s v="Unnamed ProjectPartTotal TimeEntity"/>
    <n v="5"/>
    <n v="1.063684060035258"/>
    <n v="2.4676533793142343E-3"/>
    <n v="0.95"/>
    <n v="3.0639963611403414E-3"/>
    <n v="1.0605139121415601"/>
    <n v="1.0671074684852999"/>
    <n v="0.80000921539613001"/>
    <n v="1.74220680959206"/>
    <n v="5994"/>
    <n v="3.0639963611403414E-3"/>
    <n v="5"/>
    <n v="1"/>
  </r>
  <r>
    <x v="0"/>
    <s v="2025-04-28 16:07:16"/>
    <n v="4"/>
    <x v="0"/>
    <x v="3"/>
    <x v="0"/>
    <n v="0"/>
    <n v="0"/>
    <n v="0"/>
    <n v="0"/>
    <n v="5986"/>
    <s v="Unnamed ProjectPartTransfer TimeEntity"/>
    <n v="5"/>
    <n v="0"/>
    <n v="0"/>
    <n v="0.95"/>
    <n v="0"/>
    <n v="0"/>
    <n v="0"/>
    <n v="0"/>
    <n v="0"/>
    <n v="5994"/>
    <n v="0"/>
    <n v="5"/>
    <n v="1"/>
  </r>
  <r>
    <x v="0"/>
    <s v="2025-04-28 16:07:16"/>
    <n v="4"/>
    <x v="0"/>
    <x v="4"/>
    <x v="0"/>
    <n v="1.05555349736308"/>
    <n v="3.2882608553497102E-3"/>
    <n v="0.80000921539613001"/>
    <n v="1.30595181358649"/>
    <n v="5986"/>
    <s v="Unnamed ProjectPartVA TimeEntity"/>
    <n v="5"/>
    <n v="1.052737727881158"/>
    <n v="2.1386715662187234E-3"/>
    <n v="0.95"/>
    <n v="2.6555114877558459E-3"/>
    <n v="1.0499538747610599"/>
    <n v="1.05555349736308"/>
    <n v="0.80000921539613001"/>
    <n v="1.3059593485086201"/>
    <n v="5994"/>
    <n v="2.6555114877558459E-3"/>
    <n v="5"/>
    <n v="1"/>
  </r>
  <r>
    <x v="0"/>
    <s v="2025-04-28 16:07:16"/>
    <n v="4"/>
    <x v="0"/>
    <x v="5"/>
    <x v="0"/>
    <n v="1.15539711222141E-2"/>
    <n v="1.44793709033643E-3"/>
    <n v="0"/>
    <n v="0.40615109967393398"/>
    <n v="5986"/>
    <s v="Unnamed ProjectPartWait TimeEntity"/>
    <n v="5"/>
    <n v="1.0946332154103041E-2"/>
    <n v="3.7189582506585203E-4"/>
    <n v="0.95"/>
    <n v="4.6176965706655335E-4"/>
    <n v="1.05600373805095E-2"/>
    <n v="1.15539711222141E-2"/>
    <n v="0"/>
    <n v="0.60800735163957098"/>
    <n v="5994"/>
    <n v="4.6176965706655335E-4"/>
    <n v="5"/>
    <n v="1"/>
  </r>
  <r>
    <x v="0"/>
    <s v="2025-04-28 16:07:16"/>
    <n v="5"/>
    <x v="0"/>
    <x v="0"/>
    <x v="0"/>
    <n v="0"/>
    <n v="0"/>
    <n v="0"/>
    <n v="0"/>
    <n v="5987"/>
    <s v="Unnamed ProjectPartNVA TimeEntity"/>
    <n v="5"/>
    <n v="0"/>
    <n v="0"/>
    <n v="0.95"/>
    <n v="0"/>
    <n v="0"/>
    <n v="0"/>
    <n v="0"/>
    <n v="0"/>
    <n v="5994"/>
    <n v="0"/>
    <n v="5"/>
    <n v="1"/>
  </r>
  <r>
    <x v="0"/>
    <s v="2025-04-28 16:07:16"/>
    <n v="5"/>
    <x v="0"/>
    <x v="1"/>
    <x v="0"/>
    <n v="0"/>
    <n v="0"/>
    <n v="0"/>
    <n v="0"/>
    <n v="5987"/>
    <s v="Unnamed ProjectPartOther TimeEntity"/>
    <n v="5"/>
    <n v="0"/>
    <n v="0"/>
    <n v="0.95"/>
    <n v="0"/>
    <n v="0"/>
    <n v="0"/>
    <n v="0"/>
    <n v="0"/>
    <n v="5994"/>
    <n v="0"/>
    <n v="5"/>
    <n v="1"/>
  </r>
  <r>
    <x v="0"/>
    <s v="2025-04-28 16:07:16"/>
    <n v="5"/>
    <x v="0"/>
    <x v="2"/>
    <x v="0"/>
    <n v="1.0605139121415601"/>
    <n v="4.7814212599731403E-3"/>
    <n v="0.80005223373791501"/>
    <n v="1.6873554346821"/>
    <n v="5987"/>
    <s v="Unnamed ProjectPartTotal TimeEntity"/>
    <n v="5"/>
    <n v="1.063684060035258"/>
    <n v="2.4676533793142343E-3"/>
    <n v="0.95"/>
    <n v="3.0639963611403414E-3"/>
    <n v="1.0605139121415601"/>
    <n v="1.0671074684852999"/>
    <n v="0.80000921539613001"/>
    <n v="1.74220680959206"/>
    <n v="5994"/>
    <n v="3.0639963611403414E-3"/>
    <n v="5"/>
    <n v="1"/>
  </r>
  <r>
    <x v="0"/>
    <s v="2025-04-28 16:07:16"/>
    <n v="5"/>
    <x v="0"/>
    <x v="3"/>
    <x v="0"/>
    <n v="0"/>
    <n v="0"/>
    <n v="0"/>
    <n v="0"/>
    <n v="5987"/>
    <s v="Unnamed ProjectPartTransfer TimeEntity"/>
    <n v="5"/>
    <n v="0"/>
    <n v="0"/>
    <n v="0.95"/>
    <n v="0"/>
    <n v="0"/>
    <n v="0"/>
    <n v="0"/>
    <n v="0"/>
    <n v="5994"/>
    <n v="0"/>
    <n v="5"/>
    <n v="1"/>
  </r>
  <r>
    <x v="0"/>
    <s v="2025-04-28 16:07:16"/>
    <n v="5"/>
    <x v="0"/>
    <x v="4"/>
    <x v="0"/>
    <n v="1.0499538747610599"/>
    <n v="3.6924414011591999E-3"/>
    <n v="0.80005223373791501"/>
    <n v="1.3059456756827801"/>
    <n v="5987"/>
    <s v="Unnamed ProjectPartVA TimeEntity"/>
    <n v="5"/>
    <n v="1.052737727881158"/>
    <n v="2.1386715662187234E-3"/>
    <n v="0.95"/>
    <n v="2.6555114877558459E-3"/>
    <n v="1.0499538747610599"/>
    <n v="1.05555349736308"/>
    <n v="0.80000921539613001"/>
    <n v="1.3059593485086201"/>
    <n v="5994"/>
    <n v="2.6555114877558459E-3"/>
    <n v="5"/>
    <n v="1"/>
  </r>
  <r>
    <x v="0"/>
    <s v="2025-04-28 16:07:16"/>
    <n v="5"/>
    <x v="0"/>
    <x v="5"/>
    <x v="0"/>
    <n v="1.05600373805095E-2"/>
    <n v="1.38469949357105E-3"/>
    <n v="0"/>
    <n v="0.49713031401006402"/>
    <n v="5987"/>
    <s v="Unnamed ProjectPartWait TimeEntity"/>
    <n v="5"/>
    <n v="1.0946332154103041E-2"/>
    <n v="3.7189582506585203E-4"/>
    <n v="0.95"/>
    <n v="4.6176965706655335E-4"/>
    <n v="1.05600373805095E-2"/>
    <n v="1.15539711222141E-2"/>
    <n v="0"/>
    <n v="0.60800735163957098"/>
    <n v="5994"/>
    <n v="4.6176965706655335E-4"/>
    <n v="5"/>
    <n v="1"/>
  </r>
  <r>
    <x v="0"/>
    <s v="2025-04-28 16:07:16"/>
    <n v="1"/>
    <x v="1"/>
    <x v="6"/>
    <x v="1"/>
    <n v="1.0969539958796499E-2"/>
    <n v="1.6416397468640401E-3"/>
    <n v="0"/>
    <n v="0.60800735163957098"/>
    <n v="5996"/>
    <s v="Unnamed ProjectProcess 3.QueueWaiting TimeQueue"/>
    <n v="5"/>
    <n v="1.0946332154102999E-2"/>
    <n v="3.7189582506585544E-4"/>
    <n v="0.95"/>
    <n v="4.6176965706655763E-4"/>
    <n v="1.05600373805095E-2"/>
    <n v="1.15539711222141E-2"/>
    <n v="0"/>
    <n v="0.60800735163957098"/>
    <n v="5994"/>
    <n v="4.6176965706655763E-4"/>
    <n v="5"/>
    <n v="1"/>
  </r>
  <r>
    <x v="0"/>
    <s v="2025-04-28 16:07:16"/>
    <n v="2"/>
    <x v="1"/>
    <x v="6"/>
    <x v="1"/>
    <n v="1.0777495394328001E-2"/>
    <n v="1.4665932678841001E-3"/>
    <n v="0"/>
    <n v="0.60309707317355798"/>
    <n v="5987"/>
    <s v="Unnamed ProjectProcess 3.QueueWaiting TimeQueue"/>
    <n v="5"/>
    <n v="1.0946332154102999E-2"/>
    <n v="3.7189582506585544E-4"/>
    <n v="0.95"/>
    <n v="4.6176965706655763E-4"/>
    <n v="1.05600373805095E-2"/>
    <n v="1.15539711222141E-2"/>
    <n v="0"/>
    <n v="0.60800735163957098"/>
    <n v="5994"/>
    <n v="4.6176965706655763E-4"/>
    <n v="5"/>
    <n v="1"/>
  </r>
  <r>
    <x v="0"/>
    <s v="2025-04-28 16:07:16"/>
    <n v="3"/>
    <x v="1"/>
    <x v="6"/>
    <x v="1"/>
    <n v="1.0870616914666901E-2"/>
    <n v="1.2544227636963E-3"/>
    <n v="0"/>
    <n v="0.37991013349255798"/>
    <n v="6014"/>
    <s v="Unnamed ProjectProcess 3.QueueWaiting TimeQueue"/>
    <n v="5"/>
    <n v="1.0946332154102999E-2"/>
    <n v="3.7189582506585544E-4"/>
    <n v="0.95"/>
    <n v="4.6176965706655763E-4"/>
    <n v="1.05600373805095E-2"/>
    <n v="1.15539711222141E-2"/>
    <n v="0"/>
    <n v="0.60800735163957098"/>
    <n v="5994"/>
    <n v="4.6176965706655763E-4"/>
    <n v="5"/>
    <n v="1"/>
  </r>
  <r>
    <x v="0"/>
    <s v="2025-04-28 16:07:16"/>
    <n v="4"/>
    <x v="1"/>
    <x v="6"/>
    <x v="1"/>
    <n v="1.15539711222141E-2"/>
    <n v="1.43414892641189E-3"/>
    <n v="0"/>
    <n v="0.40615109967393398"/>
    <n v="5986"/>
    <s v="Unnamed ProjectProcess 3.QueueWaiting TimeQueue"/>
    <n v="5"/>
    <n v="1.0946332154102999E-2"/>
    <n v="3.7189582506585544E-4"/>
    <n v="0.95"/>
    <n v="4.6176965706655763E-4"/>
    <n v="1.05600373805095E-2"/>
    <n v="1.15539711222141E-2"/>
    <n v="0"/>
    <n v="0.60800735163957098"/>
    <n v="5994"/>
    <n v="4.6176965706655763E-4"/>
    <n v="5"/>
    <n v="1"/>
  </r>
  <r>
    <x v="0"/>
    <s v="2025-04-28 16:07:16"/>
    <n v="5"/>
    <x v="1"/>
    <x v="6"/>
    <x v="1"/>
    <n v="1.05600373805095E-2"/>
    <n v="1.38469949357105E-3"/>
    <n v="0"/>
    <n v="0.49713031401006402"/>
    <n v="5987"/>
    <s v="Unnamed ProjectProcess 3.QueueWaiting TimeQueue"/>
    <n v="5"/>
    <n v="1.0946332154102999E-2"/>
    <n v="3.7189582506585544E-4"/>
    <n v="0.95"/>
    <n v="4.6176965706655763E-4"/>
    <n v="1.05600373805095E-2"/>
    <n v="1.15539711222141E-2"/>
    <n v="0"/>
    <n v="0.60800735163957098"/>
    <n v="5994"/>
    <n v="4.6176965706655763E-4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5-04-28 16:07:16"/>
    <n v="1"/>
    <x v="0"/>
    <x v="0"/>
    <x v="0"/>
    <n v="5995"/>
    <n v="0"/>
    <s v="Unnamed ProjectPart.NumberInNumber InEntity"/>
    <n v="5"/>
    <n v="5993.8"/>
    <n v="11.861703081766969"/>
    <n v="0.95"/>
    <n v="14.72824967401268"/>
    <n v="5986"/>
    <n v="6014"/>
  </r>
  <r>
    <x v="0"/>
    <s v="2025-04-28 16:07:16"/>
    <n v="1"/>
    <x v="1"/>
    <x v="1"/>
    <x v="0"/>
    <n v="5996"/>
    <n v="0"/>
    <s v="Unnamed ProjectPart.NumberOutNumber OutEntity"/>
    <n v="5"/>
    <n v="5994"/>
    <n v="11.895377253370318"/>
    <n v="0.95"/>
    <n v="14.770061680561895"/>
    <n v="5986"/>
    <n v="6014"/>
  </r>
  <r>
    <x v="0"/>
    <s v="2025-04-28 16:07:16"/>
    <n v="1"/>
    <x v="2"/>
    <x v="2"/>
    <x v="1"/>
    <n v="5996"/>
    <n v="0"/>
    <s v="Unnamed ProjectResource 1.NumberSeizedTotal Number SeizedResource"/>
    <n v="5"/>
    <n v="5994"/>
    <n v="11.895377253370318"/>
    <n v="0.95"/>
    <n v="14.770061680561895"/>
    <n v="5986"/>
    <n v="6014"/>
  </r>
  <r>
    <x v="0"/>
    <s v="2025-04-28 16:07:16"/>
    <n v="1"/>
    <x v="3"/>
    <x v="3"/>
    <x v="1"/>
    <n v="0.70158162483676401"/>
    <n v="0"/>
    <s v="Unnamed ProjectResource 1.ScheduledUtilizationScheduled UtilizationResource"/>
    <n v="5"/>
    <n v="0.70108802618033716"/>
    <n v="1.6018493040346759E-3"/>
    <n v="0.95"/>
    <n v="1.9889586113676122E-3"/>
    <n v="0.69845264979938304"/>
    <n v="0.70256773538478401"/>
  </r>
  <r>
    <x v="0"/>
    <s v="2025-04-28 16:07:16"/>
    <n v="1"/>
    <x v="4"/>
    <x v="1"/>
    <x v="2"/>
    <n v="5996"/>
    <n v="0"/>
    <s v="Unnamed ProjectSystem.NumberOutNumber OutSystem"/>
    <n v="5"/>
    <n v="5994"/>
    <n v="11.895377253370318"/>
    <n v="0.95"/>
    <n v="14.770061680561895"/>
    <n v="5986"/>
    <n v="6014"/>
  </r>
  <r>
    <x v="0"/>
    <s v="2025-04-28 16:07:16"/>
    <n v="2"/>
    <x v="0"/>
    <x v="0"/>
    <x v="0"/>
    <n v="5987"/>
    <n v="0"/>
    <s v="Unnamed ProjectPart.NumberInNumber InEntity"/>
    <n v="5"/>
    <n v="5993.8"/>
    <n v="11.861703081766969"/>
    <n v="0.95"/>
    <n v="14.72824967401268"/>
    <n v="5986"/>
    <n v="6014"/>
  </r>
  <r>
    <x v="0"/>
    <s v="2025-04-28 16:07:16"/>
    <n v="2"/>
    <x v="1"/>
    <x v="1"/>
    <x v="0"/>
    <n v="5987"/>
    <n v="0"/>
    <s v="Unnamed ProjectPart.NumberOutNumber OutEntity"/>
    <n v="5"/>
    <n v="5994"/>
    <n v="11.895377253370318"/>
    <n v="0.95"/>
    <n v="14.770061680561895"/>
    <n v="5986"/>
    <n v="6014"/>
  </r>
  <r>
    <x v="0"/>
    <s v="2025-04-28 16:07:16"/>
    <n v="2"/>
    <x v="2"/>
    <x v="2"/>
    <x v="1"/>
    <n v="5987"/>
    <n v="0"/>
    <s v="Unnamed ProjectResource 1.NumberSeizedTotal Number SeizedResource"/>
    <n v="5"/>
    <n v="5994"/>
    <n v="11.895377253370318"/>
    <n v="0.95"/>
    <n v="14.770061680561895"/>
    <n v="5986"/>
    <n v="6014"/>
  </r>
  <r>
    <x v="0"/>
    <s v="2025-04-28 16:07:16"/>
    <n v="2"/>
    <x v="3"/>
    <x v="3"/>
    <x v="1"/>
    <n v="0.700841942698464"/>
    <n v="0"/>
    <s v="Unnamed ProjectResource 1.ScheduledUtilizationScheduled UtilizationResource"/>
    <n v="5"/>
    <n v="0.70108802618033716"/>
    <n v="1.6018493040346759E-3"/>
    <n v="0.95"/>
    <n v="1.9889586113676122E-3"/>
    <n v="0.69845264979938304"/>
    <n v="0.70256773538478401"/>
  </r>
  <r>
    <x v="0"/>
    <s v="2025-04-28 16:07:16"/>
    <n v="2"/>
    <x v="4"/>
    <x v="1"/>
    <x v="2"/>
    <n v="5987"/>
    <n v="0"/>
    <s v="Unnamed ProjectSystem.NumberOutNumber OutSystem"/>
    <n v="5"/>
    <n v="5994"/>
    <n v="11.895377253370318"/>
    <n v="0.95"/>
    <n v="14.770061680561895"/>
    <n v="5986"/>
    <n v="6014"/>
  </r>
  <r>
    <x v="0"/>
    <s v="2025-04-28 16:07:16"/>
    <n v="3"/>
    <x v="0"/>
    <x v="0"/>
    <x v="0"/>
    <n v="6014"/>
    <n v="0"/>
    <s v="Unnamed ProjectPart.NumberInNumber InEntity"/>
    <n v="5"/>
    <n v="5993.8"/>
    <n v="11.861703081766969"/>
    <n v="0.95"/>
    <n v="14.72824967401268"/>
    <n v="5986"/>
    <n v="6014"/>
  </r>
  <r>
    <x v="0"/>
    <s v="2025-04-28 16:07:16"/>
    <n v="3"/>
    <x v="1"/>
    <x v="1"/>
    <x v="0"/>
    <n v="6014"/>
    <n v="0"/>
    <s v="Unnamed ProjectPart.NumberOutNumber OutEntity"/>
    <n v="5"/>
    <n v="5994"/>
    <n v="11.895377253370318"/>
    <n v="0.95"/>
    <n v="14.770061680561895"/>
    <n v="5986"/>
    <n v="6014"/>
  </r>
  <r>
    <x v="0"/>
    <s v="2025-04-28 16:07:16"/>
    <n v="3"/>
    <x v="2"/>
    <x v="2"/>
    <x v="1"/>
    <n v="6014"/>
    <n v="0"/>
    <s v="Unnamed ProjectResource 1.NumberSeizedTotal Number SeizedResource"/>
    <n v="5"/>
    <n v="5994"/>
    <n v="11.895377253370318"/>
    <n v="0.95"/>
    <n v="14.770061680561895"/>
    <n v="5986"/>
    <n v="6014"/>
  </r>
  <r>
    <x v="0"/>
    <s v="2025-04-28 16:07:16"/>
    <n v="3"/>
    <x v="3"/>
    <x v="3"/>
    <x v="1"/>
    <n v="0.70256773538478401"/>
    <n v="0"/>
    <s v="Unnamed ProjectResource 1.ScheduledUtilizationScheduled UtilizationResource"/>
    <n v="5"/>
    <n v="0.70108802618033716"/>
    <n v="1.6018493040346759E-3"/>
    <n v="0.95"/>
    <n v="1.9889586113676122E-3"/>
    <n v="0.69845264979938304"/>
    <n v="0.70256773538478401"/>
  </r>
  <r>
    <x v="0"/>
    <s v="2025-04-28 16:07:16"/>
    <n v="3"/>
    <x v="4"/>
    <x v="1"/>
    <x v="2"/>
    <n v="6014"/>
    <n v="0"/>
    <s v="Unnamed ProjectSystem.NumberOutNumber OutSystem"/>
    <n v="5"/>
    <n v="5994"/>
    <n v="11.895377253370318"/>
    <n v="0.95"/>
    <n v="14.770061680561895"/>
    <n v="5986"/>
    <n v="6014"/>
  </r>
  <r>
    <x v="0"/>
    <s v="2025-04-28 16:07:16"/>
    <n v="4"/>
    <x v="0"/>
    <x v="0"/>
    <x v="0"/>
    <n v="5986"/>
    <n v="0"/>
    <s v="Unnamed ProjectPart.NumberInNumber InEntity"/>
    <n v="5"/>
    <n v="5993.8"/>
    <n v="11.861703081766969"/>
    <n v="0.95"/>
    <n v="14.72824967401268"/>
    <n v="5986"/>
    <n v="6014"/>
  </r>
  <r>
    <x v="0"/>
    <s v="2025-04-28 16:07:16"/>
    <n v="4"/>
    <x v="1"/>
    <x v="1"/>
    <x v="0"/>
    <n v="5986"/>
    <n v="0"/>
    <s v="Unnamed ProjectPart.NumberOutNumber OutEntity"/>
    <n v="5"/>
    <n v="5994"/>
    <n v="11.895377253370318"/>
    <n v="0.95"/>
    <n v="14.770061680561895"/>
    <n v="5986"/>
    <n v="6014"/>
  </r>
  <r>
    <x v="0"/>
    <s v="2025-04-28 16:07:16"/>
    <n v="4"/>
    <x v="2"/>
    <x v="2"/>
    <x v="1"/>
    <n v="5986"/>
    <n v="0"/>
    <s v="Unnamed ProjectResource 1.NumberSeizedTotal Number SeizedResource"/>
    <n v="5"/>
    <n v="5994"/>
    <n v="11.895377253370318"/>
    <n v="0.95"/>
    <n v="14.770061680561895"/>
    <n v="5986"/>
    <n v="6014"/>
  </r>
  <r>
    <x v="0"/>
    <s v="2025-04-28 16:07:16"/>
    <n v="4"/>
    <x v="3"/>
    <x v="3"/>
    <x v="1"/>
    <n v="0.70199617818229099"/>
    <n v="0"/>
    <s v="Unnamed ProjectResource 1.ScheduledUtilizationScheduled UtilizationResource"/>
    <n v="5"/>
    <n v="0.70108802618033716"/>
    <n v="1.6018493040346759E-3"/>
    <n v="0.95"/>
    <n v="1.9889586113676122E-3"/>
    <n v="0.69845264979938304"/>
    <n v="0.70256773538478401"/>
  </r>
  <r>
    <x v="0"/>
    <s v="2025-04-28 16:07:16"/>
    <n v="4"/>
    <x v="4"/>
    <x v="1"/>
    <x v="2"/>
    <n v="5986"/>
    <n v="0"/>
    <s v="Unnamed ProjectSystem.NumberOutNumber OutSystem"/>
    <n v="5"/>
    <n v="5994"/>
    <n v="11.895377253370318"/>
    <n v="0.95"/>
    <n v="14.770061680561895"/>
    <n v="5986"/>
    <n v="6014"/>
  </r>
  <r>
    <x v="0"/>
    <s v="2025-04-28 16:07:16"/>
    <n v="5"/>
    <x v="0"/>
    <x v="0"/>
    <x v="0"/>
    <n v="5987"/>
    <n v="0"/>
    <s v="Unnamed ProjectPart.NumberInNumber InEntity"/>
    <n v="5"/>
    <n v="5993.8"/>
    <n v="11.861703081766969"/>
    <n v="0.95"/>
    <n v="14.72824967401268"/>
    <n v="5986"/>
    <n v="6014"/>
  </r>
  <r>
    <x v="0"/>
    <s v="2025-04-28 16:07:16"/>
    <n v="5"/>
    <x v="1"/>
    <x v="1"/>
    <x v="0"/>
    <n v="5987"/>
    <n v="0"/>
    <s v="Unnamed ProjectPart.NumberOutNumber OutEntity"/>
    <n v="5"/>
    <n v="5994"/>
    <n v="11.895377253370318"/>
    <n v="0.95"/>
    <n v="14.770061680561895"/>
    <n v="5986"/>
    <n v="6014"/>
  </r>
  <r>
    <x v="0"/>
    <s v="2025-04-28 16:07:16"/>
    <n v="5"/>
    <x v="2"/>
    <x v="2"/>
    <x v="1"/>
    <n v="5987"/>
    <n v="0"/>
    <s v="Unnamed ProjectResource 1.NumberSeizedTotal Number SeizedResource"/>
    <n v="5"/>
    <n v="5994"/>
    <n v="11.895377253370318"/>
    <n v="0.95"/>
    <n v="14.770061680561895"/>
    <n v="5986"/>
    <n v="6014"/>
  </r>
  <r>
    <x v="0"/>
    <s v="2025-04-28 16:07:16"/>
    <n v="5"/>
    <x v="3"/>
    <x v="3"/>
    <x v="1"/>
    <n v="0.69845264979938304"/>
    <n v="0"/>
    <s v="Unnamed ProjectResource 1.ScheduledUtilizationScheduled UtilizationResource"/>
    <n v="5"/>
    <n v="0.70108802618033716"/>
    <n v="1.6018493040346759E-3"/>
    <n v="0.95"/>
    <n v="1.9889586113676122E-3"/>
    <n v="0.69845264979938304"/>
    <n v="0.70256773538478401"/>
  </r>
  <r>
    <x v="0"/>
    <s v="2025-04-28 16:07:16"/>
    <n v="5"/>
    <x v="4"/>
    <x v="1"/>
    <x v="2"/>
    <n v="5987"/>
    <n v="0"/>
    <s v="Unnamed ProjectSystem.NumberOutNumber OutSystem"/>
    <n v="5"/>
    <n v="5994"/>
    <n v="11.895377253370318"/>
    <n v="0.95"/>
    <n v="14.770061680561895"/>
    <n v="5986"/>
    <n v="601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s v="2025-04-28 16:07:16"/>
    <n v="1"/>
    <x v="0"/>
    <x v="0"/>
    <x v="0"/>
    <n v="0.70888073710475097"/>
    <n v="4.1739850287928803E-3"/>
    <n v="0"/>
    <n v="2"/>
    <n v="1"/>
    <n v="0"/>
    <s v="Unnamed ProjectPartWIPEntity"/>
    <n v="5"/>
    <n v="0.70837642130027301"/>
    <n v="1.7756154639777132E-3"/>
    <n v="0.95"/>
    <n v="2.2047177962749988E-3"/>
    <n v="0.705477421332391"/>
    <n v="0.70983172317641896"/>
    <n v="2.2047177962749988E-3"/>
  </r>
  <r>
    <x v="0"/>
    <s v="2025-04-28 16:07:16"/>
    <n v="1"/>
    <x v="1"/>
    <x v="1"/>
    <x v="1"/>
    <n v="7.2991122679907199E-3"/>
    <n v="9.6692346787104904E-4"/>
    <n v="0"/>
    <n v="1"/>
    <n v="0"/>
    <n v="0"/>
    <s v="Unnamed ProjectProcess 3.QueueNumber WaitingQueue"/>
    <n v="5"/>
    <n v="7.2883951199388623E-3"/>
    <n v="2.4566145792275114E-4"/>
    <n v="0.95"/>
    <n v="3.0502898804892891E-4"/>
    <n v="7.0247715330122298E-3"/>
    <n v="7.6846745708415197E-3"/>
    <n v="3.0502898804892891E-4"/>
  </r>
  <r>
    <x v="0"/>
    <s v="2025-04-28 16:07:16"/>
    <n v="1"/>
    <x v="2"/>
    <x v="2"/>
    <x v="2"/>
    <n v="0.70158162483676401"/>
    <n v="3.7554910316360602E-3"/>
    <n v="0"/>
    <n v="1"/>
    <n v="1"/>
    <n v="0"/>
    <s v="Unnamed ProjectResource 1Instantaneous UtilizationResource"/>
    <n v="5"/>
    <n v="0.70108802618033716"/>
    <n v="1.6018493040346759E-3"/>
    <n v="0.95"/>
    <n v="1.9889586113676122E-3"/>
    <n v="0.69845264979938304"/>
    <n v="0.70256773538478401"/>
    <n v="1.9889586113676122E-3"/>
  </r>
  <r>
    <x v="0"/>
    <s v="2025-04-28 16:07:16"/>
    <n v="1"/>
    <x v="2"/>
    <x v="3"/>
    <x v="2"/>
    <n v="0.70158162483676401"/>
    <n v="3.7554910316360602E-3"/>
    <n v="0"/>
    <n v="1"/>
    <n v="1"/>
    <n v="0"/>
    <s v="Unnamed ProjectResource 1Number BusyResource"/>
    <n v="5"/>
    <n v="0.70108802618033716"/>
    <n v="1.6018493040346759E-3"/>
    <n v="0.95"/>
    <n v="1.9889586113676122E-3"/>
    <n v="0.69845264979938304"/>
    <n v="0.70256773538478401"/>
    <n v="1.9889586113676122E-3"/>
  </r>
  <r>
    <x v="0"/>
    <s v="2025-04-28 16:07:16"/>
    <n v="1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  <r>
    <x v="0"/>
    <s v="2025-04-28 16:07:16"/>
    <n v="2"/>
    <x v="0"/>
    <x v="0"/>
    <x v="0"/>
    <n v="0.70801137213466803"/>
    <n v="4.3036829382557202E-3"/>
    <n v="0"/>
    <n v="2"/>
    <n v="1"/>
    <n v="0"/>
    <s v="Unnamed ProjectPartWIPEntity"/>
    <n v="5"/>
    <n v="0.70837642130027301"/>
    <n v="1.7756154639777132E-3"/>
    <n v="0.95"/>
    <n v="2.2047177962749988E-3"/>
    <n v="0.705477421332391"/>
    <n v="0.70983172317641896"/>
    <n v="2.2047177962749988E-3"/>
  </r>
  <r>
    <x v="0"/>
    <s v="2025-04-28 16:07:16"/>
    <n v="2"/>
    <x v="1"/>
    <x v="1"/>
    <x v="1"/>
    <n v="7.1694294362046398E-3"/>
    <n v="9.6183695368171702E-4"/>
    <n v="0"/>
    <n v="1"/>
    <n v="0"/>
    <n v="0"/>
    <s v="Unnamed ProjectProcess 3.QueueNumber WaitingQueue"/>
    <n v="5"/>
    <n v="7.2883951199388623E-3"/>
    <n v="2.4566145792275114E-4"/>
    <n v="0.95"/>
    <n v="3.0502898804892891E-4"/>
    <n v="7.0247715330122298E-3"/>
    <n v="7.6846745708415197E-3"/>
    <n v="3.0502898804892891E-4"/>
  </r>
  <r>
    <x v="0"/>
    <s v="2025-04-28 16:07:16"/>
    <n v="2"/>
    <x v="2"/>
    <x v="2"/>
    <x v="2"/>
    <n v="0.700841942698464"/>
    <n v="3.6542678548601099E-3"/>
    <n v="0"/>
    <n v="1"/>
    <n v="1"/>
    <n v="0"/>
    <s v="Unnamed ProjectResource 1Instantaneous UtilizationResource"/>
    <n v="5"/>
    <n v="0.70108802618033716"/>
    <n v="1.6018493040346759E-3"/>
    <n v="0.95"/>
    <n v="1.9889586113676122E-3"/>
    <n v="0.69845264979938304"/>
    <n v="0.70256773538478401"/>
    <n v="1.9889586113676122E-3"/>
  </r>
  <r>
    <x v="0"/>
    <s v="2025-04-28 16:07:16"/>
    <n v="2"/>
    <x v="2"/>
    <x v="3"/>
    <x v="2"/>
    <n v="0.700841942698464"/>
    <n v="3.6542678548601099E-3"/>
    <n v="0"/>
    <n v="1"/>
    <n v="1"/>
    <n v="0"/>
    <s v="Unnamed ProjectResource 1Number BusyResource"/>
    <n v="5"/>
    <n v="0.70108802618033716"/>
    <n v="1.6018493040346759E-3"/>
    <n v="0.95"/>
    <n v="1.9889586113676122E-3"/>
    <n v="0.69845264979938304"/>
    <n v="0.70256773538478401"/>
    <n v="1.9889586113676122E-3"/>
  </r>
  <r>
    <x v="0"/>
    <s v="2025-04-28 16:07:16"/>
    <n v="2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  <r>
    <x v="0"/>
    <s v="2025-04-28 16:07:16"/>
    <n v="3"/>
    <x v="0"/>
    <x v="0"/>
    <x v="0"/>
    <n v="0.70983172317641896"/>
    <n v="4.3878468492192998E-3"/>
    <n v="0"/>
    <n v="2"/>
    <n v="1"/>
    <n v="0"/>
    <s v="Unnamed ProjectPartWIPEntity"/>
    <n v="5"/>
    <n v="0.70837642130027301"/>
    <n v="1.7756154639777132E-3"/>
    <n v="0.95"/>
    <n v="2.2047177962749988E-3"/>
    <n v="0.705477421332391"/>
    <n v="0.70983172317641896"/>
    <n v="2.2047177962749988E-3"/>
  </r>
  <r>
    <x v="0"/>
    <s v="2025-04-28 16:07:16"/>
    <n v="3"/>
    <x v="1"/>
    <x v="1"/>
    <x v="1"/>
    <n v="7.2639877916452003E-3"/>
    <n v="9.24989214755121E-4"/>
    <n v="0"/>
    <n v="1"/>
    <n v="0"/>
    <n v="0"/>
    <s v="Unnamed ProjectProcess 3.QueueNumber WaitingQueue"/>
    <n v="5"/>
    <n v="7.2883951199388623E-3"/>
    <n v="2.4566145792275114E-4"/>
    <n v="0.95"/>
    <n v="3.0502898804892891E-4"/>
    <n v="7.0247715330122298E-3"/>
    <n v="7.6846745708415197E-3"/>
    <n v="3.0502898804892891E-4"/>
  </r>
  <r>
    <x v="0"/>
    <s v="2025-04-28 16:07:16"/>
    <n v="3"/>
    <x v="2"/>
    <x v="2"/>
    <x v="2"/>
    <n v="0.70256773538478401"/>
    <n v="3.75698481349543E-3"/>
    <n v="0"/>
    <n v="1"/>
    <n v="1"/>
    <n v="0"/>
    <s v="Unnamed ProjectResource 1Instantaneous UtilizationResource"/>
    <n v="5"/>
    <n v="0.70108802618033716"/>
    <n v="1.6018493040346759E-3"/>
    <n v="0.95"/>
    <n v="1.9889586113676122E-3"/>
    <n v="0.69845264979938304"/>
    <n v="0.70256773538478401"/>
    <n v="1.9889586113676122E-3"/>
  </r>
  <r>
    <x v="0"/>
    <s v="2025-04-28 16:07:16"/>
    <n v="3"/>
    <x v="2"/>
    <x v="3"/>
    <x v="2"/>
    <n v="0.70256773538478401"/>
    <n v="3.75698481349543E-3"/>
    <n v="0"/>
    <n v="1"/>
    <n v="1"/>
    <n v="0"/>
    <s v="Unnamed ProjectResource 1Number BusyResource"/>
    <n v="5"/>
    <n v="0.70108802618033716"/>
    <n v="1.6018493040346759E-3"/>
    <n v="0.95"/>
    <n v="1.9889586113676122E-3"/>
    <n v="0.69845264979938304"/>
    <n v="0.70256773538478401"/>
    <n v="1.9889586113676122E-3"/>
  </r>
  <r>
    <x v="0"/>
    <s v="2025-04-28 16:07:16"/>
    <n v="3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  <r>
    <x v="0"/>
    <s v="2025-04-28 16:07:16"/>
    <n v="4"/>
    <x v="0"/>
    <x v="0"/>
    <x v="0"/>
    <n v="0.70968085275313597"/>
    <n v="5.2006137352341598E-3"/>
    <n v="0"/>
    <n v="2"/>
    <n v="1"/>
    <n v="0"/>
    <s v="Unnamed ProjectPartWIPEntity"/>
    <n v="5"/>
    <n v="0.70837642130027301"/>
    <n v="1.7756154639777132E-3"/>
    <n v="0.95"/>
    <n v="2.2047177962749988E-3"/>
    <n v="0.705477421332391"/>
    <n v="0.70983172317641896"/>
    <n v="2.2047177962749988E-3"/>
  </r>
  <r>
    <x v="0"/>
    <s v="2025-04-28 16:07:16"/>
    <n v="4"/>
    <x v="1"/>
    <x v="1"/>
    <x v="1"/>
    <n v="7.6846745708415197E-3"/>
    <n v="9.1675090515611795E-4"/>
    <n v="0"/>
    <n v="1"/>
    <n v="0"/>
    <n v="0"/>
    <s v="Unnamed ProjectProcess 3.QueueNumber WaitingQueue"/>
    <n v="5"/>
    <n v="7.2883951199388623E-3"/>
    <n v="2.4566145792275114E-4"/>
    <n v="0.95"/>
    <n v="3.0502898804892891E-4"/>
    <n v="7.0247715330122298E-3"/>
    <n v="7.6846745708415197E-3"/>
    <n v="3.0502898804892891E-4"/>
  </r>
  <r>
    <x v="0"/>
    <s v="2025-04-28 16:07:16"/>
    <n v="4"/>
    <x v="2"/>
    <x v="2"/>
    <x v="2"/>
    <n v="0.70199617818229099"/>
    <n v="4.6600393331748804E-3"/>
    <n v="0"/>
    <n v="1"/>
    <n v="1"/>
    <n v="0"/>
    <s v="Unnamed ProjectResource 1Instantaneous UtilizationResource"/>
    <n v="5"/>
    <n v="0.70108802618033716"/>
    <n v="1.6018493040346759E-3"/>
    <n v="0.95"/>
    <n v="1.9889586113676122E-3"/>
    <n v="0.69845264979938304"/>
    <n v="0.70256773538478401"/>
    <n v="1.9889586113676122E-3"/>
  </r>
  <r>
    <x v="0"/>
    <s v="2025-04-28 16:07:16"/>
    <n v="4"/>
    <x v="2"/>
    <x v="3"/>
    <x v="2"/>
    <n v="0.70199617818229099"/>
    <n v="4.6600393331748804E-3"/>
    <n v="0"/>
    <n v="1"/>
    <n v="1"/>
    <n v="0"/>
    <s v="Unnamed ProjectResource 1Number BusyResource"/>
    <n v="5"/>
    <n v="0.70108802618033716"/>
    <n v="1.6018493040346759E-3"/>
    <n v="0.95"/>
    <n v="1.9889586113676122E-3"/>
    <n v="0.69845264979938304"/>
    <n v="0.70256773538478401"/>
    <n v="1.9889586113676122E-3"/>
  </r>
  <r>
    <x v="0"/>
    <s v="2025-04-28 16:07:16"/>
    <n v="4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  <r>
    <x v="0"/>
    <s v="2025-04-28 16:07:16"/>
    <n v="5"/>
    <x v="0"/>
    <x v="0"/>
    <x v="0"/>
    <n v="0.705477421332391"/>
    <n v="5.2661572566246699E-3"/>
    <n v="0"/>
    <n v="2"/>
    <n v="0"/>
    <n v="0"/>
    <s v="Unnamed ProjectPartWIPEntity"/>
    <n v="5"/>
    <n v="0.70837642130027301"/>
    <n v="1.7756154639777132E-3"/>
    <n v="0.95"/>
    <n v="2.2047177962749988E-3"/>
    <n v="0.705477421332391"/>
    <n v="0.70983172317641896"/>
    <n v="2.2047177962749988E-3"/>
  </r>
  <r>
    <x v="0"/>
    <s v="2025-04-28 16:07:16"/>
    <n v="5"/>
    <x v="1"/>
    <x v="1"/>
    <x v="1"/>
    <n v="7.0247715330122298E-3"/>
    <n v="3E+20"/>
    <n v="0"/>
    <n v="1"/>
    <n v="0"/>
    <n v="0"/>
    <s v="Unnamed ProjectProcess 3.QueueNumber WaitingQueue"/>
    <n v="5"/>
    <n v="7.2883951199388623E-3"/>
    <n v="2.4566145792275114E-4"/>
    <n v="0.95"/>
    <n v="3.0502898804892891E-4"/>
    <n v="7.0247715330122298E-3"/>
    <n v="7.6846745708415197E-3"/>
    <n v="3.0502898804892891E-4"/>
  </r>
  <r>
    <x v="0"/>
    <s v="2025-04-28 16:07:16"/>
    <n v="5"/>
    <x v="2"/>
    <x v="2"/>
    <x v="2"/>
    <n v="0.69845264979938304"/>
    <n v="4.70963370649073E-3"/>
    <n v="0"/>
    <n v="1"/>
    <n v="0"/>
    <n v="0"/>
    <s v="Unnamed ProjectResource 1Instantaneous UtilizationResource"/>
    <n v="5"/>
    <n v="0.70108802618033716"/>
    <n v="1.6018493040346759E-3"/>
    <n v="0.95"/>
    <n v="1.9889586113676122E-3"/>
    <n v="0.69845264979938304"/>
    <n v="0.70256773538478401"/>
    <n v="1.9889586113676122E-3"/>
  </r>
  <r>
    <x v="0"/>
    <s v="2025-04-28 16:07:16"/>
    <n v="5"/>
    <x v="2"/>
    <x v="3"/>
    <x v="2"/>
    <n v="0.69845264979938304"/>
    <n v="4.70963370649073E-3"/>
    <n v="0"/>
    <n v="1"/>
    <n v="0"/>
    <n v="0"/>
    <s v="Unnamed ProjectResource 1Number BusyResource"/>
    <n v="5"/>
    <n v="0.70108802618033716"/>
    <n v="1.6018493040346759E-3"/>
    <n v="0.95"/>
    <n v="1.9889586113676122E-3"/>
    <n v="0.69845264979938304"/>
    <n v="0.70256773538478401"/>
    <n v="1.9889586113676122E-3"/>
  </r>
  <r>
    <x v="0"/>
    <s v="2025-04-28 16:07:16"/>
    <n v="5"/>
    <x v="2"/>
    <x v="4"/>
    <x v="2"/>
    <n v="1"/>
    <n v="2E+20"/>
    <n v="1"/>
    <n v="1"/>
    <n v="1"/>
    <n v="0"/>
    <s v="Unnamed ProjectResource 1Number ScheduledResource"/>
    <n v="5"/>
    <n v="1"/>
    <n v="0"/>
    <n v="0.95"/>
    <n v="0"/>
    <n v="1"/>
    <n v="1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9"/>
        <item m="1" x="6"/>
        <item m="1" x="30"/>
        <item m="1" x="7"/>
        <item m="1" x="31"/>
        <item m="1" x="8"/>
        <item m="1" x="32"/>
        <item m="1" x="9"/>
        <item m="1" x="63"/>
        <item m="1" x="20"/>
        <item x="4"/>
        <item m="1" x="62"/>
        <item m="1" x="49"/>
        <item m="1" x="66"/>
        <item m="1" x="51"/>
        <item m="1" x="67"/>
        <item m="1" x="74"/>
        <item m="1" x="44"/>
        <item m="1" x="13"/>
        <item m="1" x="60"/>
        <item m="1" x="50"/>
        <item m="1" x="48"/>
        <item m="1" x="16"/>
        <item m="1" x="58"/>
        <item m="1" x="24"/>
        <item m="1" x="59"/>
        <item m="1" x="25"/>
        <item m="1" x="57"/>
        <item m="1" x="77"/>
        <item m="1" x="19"/>
        <item m="1" x="80"/>
        <item m="1" x="46"/>
        <item m="1" x="14"/>
        <item m="1" x="75"/>
        <item m="1" x="70"/>
        <item m="1" x="47"/>
        <item m="1" x="15"/>
        <item m="1" x="76"/>
        <item m="1" x="71"/>
        <item m="1" x="10"/>
        <item m="1" x="43"/>
        <item m="1" x="27"/>
        <item m="1" x="18"/>
        <item m="1" x="68"/>
        <item m="1" x="39"/>
        <item m="1" x="69"/>
        <item m="1" x="40"/>
        <item m="1" x="26"/>
        <item m="1" x="22"/>
        <item x="2"/>
        <item x="3"/>
        <item m="1" x="79"/>
        <item m="1" x="72"/>
        <item m="1" x="23"/>
        <item m="1" x="21"/>
        <item m="1" x="64"/>
        <item m="1" x="73"/>
        <item m="1" x="11"/>
        <item m="1" x="28"/>
        <item m="1" x="41"/>
        <item m="1" x="61"/>
        <item m="1" x="78"/>
        <item m="1" x="12"/>
        <item m="1" x="38"/>
        <item m="1" x="42"/>
        <item m="1" x="65"/>
        <item m="1" x="45"/>
        <item m="1" x="17"/>
        <item m="1" x="33"/>
        <item m="1" x="52"/>
        <item m="1" x="34"/>
        <item m="1" x="53"/>
        <item m="1" x="35"/>
        <item m="1" x="54"/>
        <item m="1" x="36"/>
        <item m="1" x="55"/>
        <item m="1" x="37"/>
        <item m="1" x="56"/>
        <item m="1" x="5"/>
        <item x="0"/>
        <item x="1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49"/>
      <x v="3"/>
      <x v="1"/>
    </i>
    <i r="1">
      <x v="50"/>
      <x v="2"/>
      <x v="1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6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x="2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93"/>
      <x/>
      <x v="2"/>
    </i>
    <i r="2">
      <x v="1"/>
      <x v="2"/>
    </i>
    <i r="2">
      <x v="2"/>
      <x v="2"/>
    </i>
    <i r="1">
      <x v="124"/>
      <x v="4"/>
      <x/>
    </i>
    <i r="1">
      <x v="125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6" tableType="queryTable" totalsRowShown="0">
  <autoFilter ref="A1:Y36" xr:uid="{C3D003CA-1AFF-426C-A03D-D3AF5760DF1A}"/>
  <sortState xmlns:xlrd2="http://schemas.microsoft.com/office/spreadsheetml/2017/richdata2" ref="A2:Y36">
    <sortCondition ref="D1:D36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6" tableType="queryTable" totalsRowShown="0">
  <autoFilter ref="A1:U2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6" tableType="queryTable" totalsRowShown="0">
  <autoFilter ref="A1:P2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55.3320312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5</v>
      </c>
      <c r="F2">
        <v>9000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" x14ac:dyDescent="0.3"/>
  <cols>
    <col min="1" max="1" width="33.332031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8.9140625" bestFit="1" customWidth="1"/>
    <col min="31" max="31" width="25.5" bestFit="1" customWidth="1"/>
    <col min="32" max="32" width="10.66406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33203125" bestFit="1" customWidth="1"/>
    <col min="56" max="56" width="31.9140625" bestFit="1" customWidth="1"/>
    <col min="57" max="57" width="21.664062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5994</v>
      </c>
      <c r="O3" t="s">
        <v>66</v>
      </c>
      <c r="P3" t="s">
        <v>83</v>
      </c>
      <c r="Q3" t="s">
        <v>84</v>
      </c>
      <c r="R3" t="s">
        <v>85</v>
      </c>
      <c r="S3" s="5">
        <v>0.70108802618033716</v>
      </c>
      <c r="T3" s="5">
        <v>1.9889586113676122E-3</v>
      </c>
      <c r="U3" s="5">
        <v>1.6018493040346759E-3</v>
      </c>
      <c r="V3" s="5">
        <v>0.69845264979938304</v>
      </c>
      <c r="W3" s="5">
        <v>0.70256773538478401</v>
      </c>
      <c r="X3" s="5">
        <v>0</v>
      </c>
      <c r="Y3" s="5">
        <v>1</v>
      </c>
      <c r="AA3" t="s">
        <v>98</v>
      </c>
      <c r="AB3" t="s">
        <v>98</v>
      </c>
      <c r="AC3" t="s">
        <v>98</v>
      </c>
      <c r="AD3" t="s">
        <v>98</v>
      </c>
      <c r="AE3" s="5"/>
      <c r="AF3" s="5"/>
      <c r="AG3" s="5"/>
      <c r="AH3" s="5"/>
      <c r="AI3" s="5"/>
      <c r="AK3" t="s">
        <v>66</v>
      </c>
      <c r="AL3" t="s">
        <v>96</v>
      </c>
      <c r="AM3" t="s">
        <v>91</v>
      </c>
      <c r="AN3" t="s">
        <v>97</v>
      </c>
      <c r="AO3" s="5">
        <v>5994</v>
      </c>
      <c r="AP3" s="5">
        <v>14.770061680561895</v>
      </c>
      <c r="AQ3" s="5">
        <v>11.895377253370318</v>
      </c>
      <c r="AR3" s="5">
        <v>5986</v>
      </c>
      <c r="AS3" s="5">
        <v>6014</v>
      </c>
      <c r="AU3" t="s">
        <v>98</v>
      </c>
      <c r="AV3" t="s">
        <v>98</v>
      </c>
      <c r="AW3" t="s">
        <v>98</v>
      </c>
      <c r="AX3" t="s">
        <v>98</v>
      </c>
      <c r="AY3" s="4"/>
      <c r="AZ3" s="4"/>
    </row>
    <row r="4" spans="1:52" x14ac:dyDescent="0.3">
      <c r="C4" t="s">
        <v>73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5994</v>
      </c>
      <c r="Q4" t="s">
        <v>86</v>
      </c>
      <c r="R4" t="s">
        <v>85</v>
      </c>
      <c r="S4" s="5">
        <v>0.70108802618033716</v>
      </c>
      <c r="T4" s="5">
        <v>1.9889586113676122E-3</v>
      </c>
      <c r="U4" s="5">
        <v>1.6018493040346759E-3</v>
      </c>
      <c r="V4" s="5">
        <v>0.69845264979938304</v>
      </c>
      <c r="W4" s="5">
        <v>0.70256773538478401</v>
      </c>
      <c r="X4" s="5">
        <v>0</v>
      </c>
      <c r="Y4" s="5">
        <v>1</v>
      </c>
      <c r="AL4" t="s">
        <v>92</v>
      </c>
      <c r="AM4" t="s">
        <v>93</v>
      </c>
      <c r="AN4" t="s">
        <v>85</v>
      </c>
      <c r="AO4" s="5">
        <v>5994</v>
      </c>
      <c r="AP4" s="5">
        <v>14.770061680561895</v>
      </c>
      <c r="AQ4" s="5">
        <v>11.895377253370318</v>
      </c>
      <c r="AR4" s="5">
        <v>5986</v>
      </c>
      <c r="AS4" s="5">
        <v>6014</v>
      </c>
    </row>
    <row r="5" spans="1:52" x14ac:dyDescent="0.3">
      <c r="C5" t="s">
        <v>74</v>
      </c>
      <c r="D5" t="s">
        <v>72</v>
      </c>
      <c r="E5" s="5">
        <v>1.063684060035258</v>
      </c>
      <c r="F5" s="5">
        <v>1</v>
      </c>
      <c r="G5" s="5">
        <v>3.0639963611403414E-3</v>
      </c>
      <c r="H5" s="5">
        <v>2.4676533793142343E-3</v>
      </c>
      <c r="I5" s="5">
        <v>1.0605139121415601</v>
      </c>
      <c r="J5" s="5">
        <v>1.0671074684852999</v>
      </c>
      <c r="K5" s="5">
        <v>0.80000921539613001</v>
      </c>
      <c r="L5" s="5">
        <v>1.74220680959206</v>
      </c>
      <c r="M5" s="5">
        <v>5994</v>
      </c>
      <c r="Q5" t="s">
        <v>87</v>
      </c>
      <c r="R5" t="s">
        <v>85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94</v>
      </c>
      <c r="AM5" t="s">
        <v>95</v>
      </c>
      <c r="AN5" t="s">
        <v>85</v>
      </c>
      <c r="AO5" s="5">
        <v>0.70108802618033716</v>
      </c>
      <c r="AP5" s="5">
        <v>1.9889586113676122E-3</v>
      </c>
      <c r="AQ5" s="5">
        <v>1.6018493040346759E-3</v>
      </c>
      <c r="AR5" s="5">
        <v>0.69845264979938304</v>
      </c>
      <c r="AS5" s="5">
        <v>0.70256773538478401</v>
      </c>
    </row>
    <row r="6" spans="1:52" x14ac:dyDescent="0.3">
      <c r="C6" t="s">
        <v>75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5994</v>
      </c>
      <c r="P6" t="s">
        <v>70</v>
      </c>
      <c r="Q6" t="s">
        <v>81</v>
      </c>
      <c r="R6" t="s">
        <v>72</v>
      </c>
      <c r="S6" s="5">
        <v>0.70837642130027301</v>
      </c>
      <c r="T6" s="5">
        <v>2.2047177962749988E-3</v>
      </c>
      <c r="U6" s="5">
        <v>1.7756154639777132E-3</v>
      </c>
      <c r="V6" s="5">
        <v>0.705477421332391</v>
      </c>
      <c r="W6" s="5">
        <v>0.70983172317641896</v>
      </c>
      <c r="X6" s="5">
        <v>0</v>
      </c>
      <c r="Y6" s="5">
        <v>2</v>
      </c>
      <c r="AL6" t="s">
        <v>88</v>
      </c>
      <c r="AM6" t="s">
        <v>89</v>
      </c>
      <c r="AN6" t="s">
        <v>72</v>
      </c>
      <c r="AO6" s="5">
        <v>5993.8</v>
      </c>
      <c r="AP6" s="5">
        <v>14.72824967401268</v>
      </c>
      <c r="AQ6" s="5">
        <v>11.861703081766969</v>
      </c>
      <c r="AR6" s="5">
        <v>5986</v>
      </c>
      <c r="AS6" s="5">
        <v>6014</v>
      </c>
    </row>
    <row r="7" spans="1:52" x14ac:dyDescent="0.3">
      <c r="C7" t="s">
        <v>76</v>
      </c>
      <c r="D7" t="s">
        <v>72</v>
      </c>
      <c r="E7" s="5">
        <v>1.052737727881158</v>
      </c>
      <c r="F7" s="5">
        <v>1</v>
      </c>
      <c r="G7" s="5">
        <v>2.6555114877558459E-3</v>
      </c>
      <c r="H7" s="5">
        <v>2.1386715662187234E-3</v>
      </c>
      <c r="I7" s="5">
        <v>1.0499538747610599</v>
      </c>
      <c r="J7" s="5">
        <v>1.05555349736308</v>
      </c>
      <c r="K7" s="5">
        <v>0.80000921539613001</v>
      </c>
      <c r="L7" s="5">
        <v>1.3059593485086201</v>
      </c>
      <c r="M7" s="5">
        <v>5994</v>
      </c>
      <c r="P7" t="s">
        <v>78</v>
      </c>
      <c r="Q7" t="s">
        <v>82</v>
      </c>
      <c r="R7" t="s">
        <v>80</v>
      </c>
      <c r="S7" s="5">
        <v>7.2883951199388623E-3</v>
      </c>
      <c r="T7" s="5">
        <v>3.0502898804892891E-4</v>
      </c>
      <c r="U7" s="5">
        <v>2.4566145792275114E-4</v>
      </c>
      <c r="V7" s="5">
        <v>7.0247715330122298E-3</v>
      </c>
      <c r="W7" s="5">
        <v>7.6846745708415197E-3</v>
      </c>
      <c r="X7" s="5">
        <v>0</v>
      </c>
      <c r="Y7" s="5">
        <v>1</v>
      </c>
      <c r="AL7" t="s">
        <v>90</v>
      </c>
      <c r="AM7" t="s">
        <v>91</v>
      </c>
      <c r="AN7" t="s">
        <v>72</v>
      </c>
      <c r="AO7" s="5">
        <v>5994</v>
      </c>
      <c r="AP7" s="5">
        <v>14.770061680561895</v>
      </c>
      <c r="AQ7" s="5">
        <v>11.895377253370318</v>
      </c>
      <c r="AR7" s="5">
        <v>5986</v>
      </c>
      <c r="AS7" s="5">
        <v>6014</v>
      </c>
    </row>
    <row r="8" spans="1:52" x14ac:dyDescent="0.3">
      <c r="C8" t="s">
        <v>77</v>
      </c>
      <c r="D8" t="s">
        <v>72</v>
      </c>
      <c r="E8" s="5">
        <v>1.0946332154103041E-2</v>
      </c>
      <c r="F8" s="5">
        <v>1</v>
      </c>
      <c r="G8" s="5">
        <v>4.6176965706655335E-4</v>
      </c>
      <c r="H8" s="5">
        <v>3.7189582506585203E-4</v>
      </c>
      <c r="I8" s="5">
        <v>1.05600373805095E-2</v>
      </c>
      <c r="J8" s="5">
        <v>1.15539711222141E-2</v>
      </c>
      <c r="K8" s="5">
        <v>0</v>
      </c>
      <c r="L8" s="5">
        <v>0.60800735163957098</v>
      </c>
      <c r="M8" s="5">
        <v>5994</v>
      </c>
    </row>
    <row r="9" spans="1:52" x14ac:dyDescent="0.3">
      <c r="B9" t="s">
        <v>78</v>
      </c>
      <c r="C9" t="s">
        <v>79</v>
      </c>
      <c r="D9" t="s">
        <v>80</v>
      </c>
      <c r="E9" s="5">
        <v>1.0946332154102999E-2</v>
      </c>
      <c r="F9" s="5">
        <v>1</v>
      </c>
      <c r="G9" s="5">
        <v>4.6176965706655763E-4</v>
      </c>
      <c r="H9" s="5">
        <v>3.7189582506585544E-4</v>
      </c>
      <c r="I9" s="5">
        <v>1.05600373805095E-2</v>
      </c>
      <c r="J9" s="5">
        <v>1.15539711222141E-2</v>
      </c>
      <c r="K9" s="5">
        <v>0</v>
      </c>
      <c r="L9" s="5">
        <v>0.60800735163957098</v>
      </c>
      <c r="M9" s="5">
        <v>5994</v>
      </c>
    </row>
  </sheetData>
  <dataConsolidate/>
  <phoneticPr fontId="3" type="noConversion"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61"/>
  <sheetViews>
    <sheetView workbookViewId="0">
      <selection activeCell="A2" sqref="A2:K6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4.58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46.0820312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5996</v>
      </c>
      <c r="L2" t="str">
        <f>DiscreteStatsTable[[#This Row],[ProjectName]]&amp;DiscreteStatsTable[[#This Row],[Name]]&amp;DiscreteStatsTable[[#This Row],[Type]]&amp;DiscreteStatsTable[[#This Row],[Source]]</f>
        <v>Unnamed ProjectPartNVA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5994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0</v>
      </c>
      <c r="I3">
        <v>0</v>
      </c>
      <c r="J3">
        <v>0</v>
      </c>
      <c r="K3">
        <v>5996</v>
      </c>
      <c r="L3" t="str">
        <f>DiscreteStatsTable[[#This Row],[ProjectName]]&amp;DiscreteStatsTable[[#This Row],[Name]]&amp;DiscreteStatsTable[[#This Row],[Type]]&amp;DiscreteStatsTable[[#This Row],[Source]]</f>
        <v>Unnamed ProjectPartOther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5994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1.0641474699170701</v>
      </c>
      <c r="H4">
        <v>4.6790981427751004E-3</v>
      </c>
      <c r="I4">
        <v>0.80009647850420196</v>
      </c>
      <c r="J4">
        <v>1.74220680959206</v>
      </c>
      <c r="K4">
        <v>5996</v>
      </c>
      <c r="L4" t="str">
        <f>DiscreteStatsTable[[#This Row],[ProjectName]]&amp;DiscreteStatsTable[[#This Row],[Name]]&amp;DiscreteStatsTable[[#This Row],[Type]]&amp;DiscreteStatsTable[[#This Row],[Source]]</f>
        <v>Unnamed ProjectPartTotal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1.063684060035258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2.4676533793142343E-3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3.0639963611403414E-3</v>
      </c>
      <c r="R4" cm="1">
        <f t="array" ref="R4">MIN(IF((DiscreteStatsTable[GroupByKey]=DiscreteStatsTable[[#This Row],[GroupByKey]]),(DiscreteStatsTable[GroupByKey]=DiscreteStatsTable[[#This Row],[GroupByKey]])*DiscreteStatsTable[Average]))</f>
        <v>1.0605139121415601</v>
      </c>
      <c r="S4" cm="1">
        <f t="array" ref="S4">MAX(IF((DiscreteStatsTable[GroupByKey]=DiscreteStatsTable[[#This Row],[GroupByKey]]),(DiscreteStatsTable[GroupByKey]=DiscreteStatsTable[[#This Row],[GroupByKey]])*DiscreteStatsTable[Average]))</f>
        <v>1.0671074684852999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0.80000921539613001</v>
      </c>
      <c r="U4" cm="1">
        <f t="array" ref="U4">MAX(IF((DiscreteStatsTable[GroupByKey]=DiscreteStatsTable[[#This Row],[GroupByKey]]),(DiscreteStatsTable[GroupByKey]=DiscreteStatsTable[[#This Row],[GroupByKey]])*DiscreteStatsTable[Maximum]))</f>
        <v>1.74220680959206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5994</v>
      </c>
      <c r="W4">
        <f>IF((DiscreteStatsTable[[#This Row],[RepsRequested]]&gt;1),DiscreteStatsTable[[#This Row],[HalfWidth]],DiscreteStatsTable[[#This Row],[BatchMeansHalfWidth]])</f>
        <v>3.0639963611403414E-3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0</v>
      </c>
      <c r="I5">
        <v>0</v>
      </c>
      <c r="J5">
        <v>0</v>
      </c>
      <c r="K5">
        <v>5996</v>
      </c>
      <c r="L5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5994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1.05317792995828</v>
      </c>
      <c r="H6">
        <v>3E+20</v>
      </c>
      <c r="I6">
        <v>0.80009647850420196</v>
      </c>
      <c r="J6">
        <v>1.30593560272973</v>
      </c>
      <c r="K6">
        <v>5996</v>
      </c>
      <c r="L6" t="str">
        <f>DiscreteStatsTable[[#This Row],[ProjectName]]&amp;DiscreteStatsTable[[#This Row],[Name]]&amp;DiscreteStatsTable[[#This Row],[Type]]&amp;DiscreteStatsTable[[#This Row],[Source]]</f>
        <v>Unnamed ProjectPartVA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1.052737727881158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2.1386715662187234E-3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2.6555114877558459E-3</v>
      </c>
      <c r="R6" cm="1">
        <f t="array" ref="R6">MIN(IF((DiscreteStatsTable[GroupByKey]=DiscreteStatsTable[[#This Row],[GroupByKey]]),(DiscreteStatsTable[GroupByKey]=DiscreteStatsTable[[#This Row],[GroupByKey]])*DiscreteStatsTable[Average]))</f>
        <v>1.0499538747610599</v>
      </c>
      <c r="S6" cm="1">
        <f t="array" ref="S6">MAX(IF((DiscreteStatsTable[GroupByKey]=DiscreteStatsTable[[#This Row],[GroupByKey]]),(DiscreteStatsTable[GroupByKey]=DiscreteStatsTable[[#This Row],[GroupByKey]])*DiscreteStatsTable[Average]))</f>
        <v>1.05555349736308</v>
      </c>
      <c r="T6" cm="1">
        <f t="array" ref="T6">MIN(IF((DiscreteStatsTable[GroupByKey]=DiscreteStatsTable[[#This Row],[GroupByKey]]),(DiscreteStatsTable[GroupByKey]=DiscreteStatsTable[[#This Row],[GroupByKey]])*DiscreteStatsTable[Minimum]))</f>
        <v>0.80000921539613001</v>
      </c>
      <c r="U6" cm="1">
        <f t="array" ref="U6">MAX(IF((DiscreteStatsTable[GroupByKey]=DiscreteStatsTable[[#This Row],[GroupByKey]]),(DiscreteStatsTable[GroupByKey]=DiscreteStatsTable[[#This Row],[GroupByKey]])*DiscreteStatsTable[Maximum]))</f>
        <v>1.3059593485086201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5994</v>
      </c>
      <c r="W6">
        <f>IF((DiscreteStatsTable[[#This Row],[RepsRequested]]&gt;1),DiscreteStatsTable[[#This Row],[HalfWidth]],DiscreteStatsTable[[#This Row],[BatchMeansHalfWidth]])</f>
        <v>2.6555114877558459E-3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1.09695399587966E-2</v>
      </c>
      <c r="H7">
        <v>1.61593025810485E-3</v>
      </c>
      <c r="I7">
        <v>0</v>
      </c>
      <c r="J7">
        <v>0.60800735163957098</v>
      </c>
      <c r="K7">
        <v>5996</v>
      </c>
      <c r="L7" t="str">
        <f>DiscreteStatsTable[[#This Row],[ProjectName]]&amp;DiscreteStatsTable[[#This Row],[Name]]&amp;DiscreteStatsTable[[#This Row],[Type]]&amp;DiscreteStatsTable[[#This Row],[Source]]</f>
        <v>Unnamed ProjectPartWait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1.0946332154103041E-2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3.7189582506585203E-4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4.6176965706655335E-4</v>
      </c>
      <c r="R7" cm="1">
        <f t="array" ref="R7">MIN(IF((DiscreteStatsTable[GroupByKey]=DiscreteStatsTable[[#This Row],[GroupByKey]]),(DiscreteStatsTable[GroupByKey]=DiscreteStatsTable[[#This Row],[GroupByKey]])*DiscreteStatsTable[Average]))</f>
        <v>1.05600373805095E-2</v>
      </c>
      <c r="S7" cm="1">
        <f t="array" ref="S7">MAX(IF((DiscreteStatsTable[GroupByKey]=DiscreteStatsTable[[#This Row],[GroupByKey]]),(DiscreteStatsTable[GroupByKey]=DiscreteStatsTable[[#This Row],[GroupByKey]])*DiscreteStatsTable[Average]))</f>
        <v>1.15539711222141E-2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0.60800735163957098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5994</v>
      </c>
      <c r="W7">
        <f>IF((DiscreteStatsTable[[#This Row],[RepsRequested]]&gt;1),DiscreteStatsTable[[#This Row],[HalfWidth]],DiscreteStatsTable[[#This Row],[BatchMeansHalfWidth]])</f>
        <v>4.6176965706655335E-4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2</v>
      </c>
      <c r="D8" t="s">
        <v>70</v>
      </c>
      <c r="E8" t="s">
        <v>71</v>
      </c>
      <c r="F8" t="s">
        <v>72</v>
      </c>
      <c r="G8">
        <v>0</v>
      </c>
      <c r="H8">
        <v>0</v>
      </c>
      <c r="I8">
        <v>0</v>
      </c>
      <c r="J8">
        <v>0</v>
      </c>
      <c r="K8">
        <v>5987</v>
      </c>
      <c r="L8" t="str">
        <f>DiscreteStatsTable[[#This Row],[ProjectName]]&amp;DiscreteStatsTable[[#This Row],[Name]]&amp;DiscreteStatsTable[[#This Row],[Type]]&amp;DiscreteStatsTable[[#This Row],[Source]]</f>
        <v>Unnamed ProjectPartNVA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5994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2</v>
      </c>
      <c r="D9" t="s">
        <v>70</v>
      </c>
      <c r="E9" t="s">
        <v>73</v>
      </c>
      <c r="F9" t="s">
        <v>72</v>
      </c>
      <c r="G9">
        <v>0</v>
      </c>
      <c r="H9">
        <v>0</v>
      </c>
      <c r="I9">
        <v>0</v>
      </c>
      <c r="J9">
        <v>0</v>
      </c>
      <c r="K9">
        <v>5987</v>
      </c>
      <c r="L9" t="str">
        <f>DiscreteStatsTable[[#This Row],[ProjectName]]&amp;DiscreteStatsTable[[#This Row],[Name]]&amp;DiscreteStatsTable[[#This Row],[Type]]&amp;DiscreteStatsTable[[#This Row],[Source]]</f>
        <v>Unnamed ProjectPartOther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5994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2</v>
      </c>
      <c r="D10" t="s">
        <v>70</v>
      </c>
      <c r="E10" t="s">
        <v>74</v>
      </c>
      <c r="F10" t="s">
        <v>72</v>
      </c>
      <c r="G10">
        <v>1.0643543483481399</v>
      </c>
      <c r="H10">
        <v>3.9849725775882999E-3</v>
      </c>
      <c r="I10">
        <v>0.80002118194715899</v>
      </c>
      <c r="J10">
        <v>1.61349731911105</v>
      </c>
      <c r="K10">
        <v>5987</v>
      </c>
      <c r="L10" t="str">
        <f>DiscreteStatsTable[[#This Row],[ProjectName]]&amp;DiscreteStatsTable[[#This Row],[Name]]&amp;DiscreteStatsTable[[#This Row],[Type]]&amp;DiscreteStatsTable[[#This Row],[Source]]</f>
        <v>Unnamed ProjectPartTotal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1.063684060035258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2.4676533793142343E-3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3.0639963611403414E-3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1.0605139121415601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1.0671074684852999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0.80000921539613001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1.74220680959206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5994</v>
      </c>
      <c r="W10">
        <f>IF((DiscreteStatsTable[[#This Row],[RepsRequested]]&gt;1),DiscreteStatsTable[[#This Row],[HalfWidth]],DiscreteStatsTable[[#This Row],[BatchMeansHalfWidth]])</f>
        <v>3.0639963611403414E-3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69</v>
      </c>
      <c r="C11">
        <v>2</v>
      </c>
      <c r="D11" t="s">
        <v>70</v>
      </c>
      <c r="E11" t="s">
        <v>75</v>
      </c>
      <c r="F11" t="s">
        <v>72</v>
      </c>
      <c r="G11">
        <v>0</v>
      </c>
      <c r="H11">
        <v>0</v>
      </c>
      <c r="I11">
        <v>0</v>
      </c>
      <c r="J11">
        <v>0</v>
      </c>
      <c r="K11">
        <v>5987</v>
      </c>
      <c r="L11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5994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69</v>
      </c>
      <c r="C12">
        <v>2</v>
      </c>
      <c r="D12" t="s">
        <v>70</v>
      </c>
      <c r="E12" t="s">
        <v>76</v>
      </c>
      <c r="F12" t="s">
        <v>72</v>
      </c>
      <c r="G12">
        <v>1.0535768529538201</v>
      </c>
      <c r="H12">
        <v>3.7621928321048101E-3</v>
      </c>
      <c r="I12">
        <v>0.80002118194715899</v>
      </c>
      <c r="J12">
        <v>1.3059593485086201</v>
      </c>
      <c r="K12">
        <v>5987</v>
      </c>
      <c r="L12" t="str">
        <f>DiscreteStatsTable[[#This Row],[ProjectName]]&amp;DiscreteStatsTable[[#This Row],[Name]]&amp;DiscreteStatsTable[[#This Row],[Type]]&amp;DiscreteStatsTable[[#This Row],[Source]]</f>
        <v>Unnamed ProjectPartVA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1.052737727881158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2.1386715662187234E-3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2.6555114877558459E-3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1.0499538747610599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1.05555349736308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0.80000921539613001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1.3059593485086201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5994</v>
      </c>
      <c r="W12">
        <f>IF((DiscreteStatsTable[[#This Row],[RepsRequested]]&gt;1),DiscreteStatsTable[[#This Row],[HalfWidth]],DiscreteStatsTable[[#This Row],[BatchMeansHalfWidth]])</f>
        <v>2.6555114877558459E-3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69</v>
      </c>
      <c r="C13">
        <v>2</v>
      </c>
      <c r="D13" t="s">
        <v>70</v>
      </c>
      <c r="E13" t="s">
        <v>77</v>
      </c>
      <c r="F13" t="s">
        <v>72</v>
      </c>
      <c r="G13">
        <v>1.0777495394328001E-2</v>
      </c>
      <c r="H13">
        <v>1.4604910679258799E-3</v>
      </c>
      <c r="I13">
        <v>0</v>
      </c>
      <c r="J13">
        <v>0.60309707317355798</v>
      </c>
      <c r="K13">
        <v>5987</v>
      </c>
      <c r="L13" t="str">
        <f>DiscreteStatsTable[[#This Row],[ProjectName]]&amp;DiscreteStatsTable[[#This Row],[Name]]&amp;DiscreteStatsTable[[#This Row],[Type]]&amp;DiscreteStatsTable[[#This Row],[Source]]</f>
        <v>Unnamed ProjectPartWait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1.0946332154103041E-2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3.7189582506585203E-4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4.6176965706655335E-4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1.05600373805095E-2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1.15539711222141E-2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0.60800735163957098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5994</v>
      </c>
      <c r="W13">
        <f>IF((DiscreteStatsTable[[#This Row],[RepsRequested]]&gt;1),DiscreteStatsTable[[#This Row],[HalfWidth]],DiscreteStatsTable[[#This Row],[BatchMeansHalfWidth]])</f>
        <v>4.6176965706655335E-4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69</v>
      </c>
      <c r="C14">
        <v>3</v>
      </c>
      <c r="D14" t="s">
        <v>70</v>
      </c>
      <c r="E14" t="s">
        <v>71</v>
      </c>
      <c r="F14" t="s">
        <v>72</v>
      </c>
      <c r="G14">
        <v>0</v>
      </c>
      <c r="H14">
        <v>0</v>
      </c>
      <c r="I14">
        <v>0</v>
      </c>
      <c r="J14">
        <v>0</v>
      </c>
      <c r="K14">
        <v>6014</v>
      </c>
      <c r="L14" t="str">
        <f>DiscreteStatsTable[[#This Row],[ProjectName]]&amp;DiscreteStatsTable[[#This Row],[Name]]&amp;DiscreteStatsTable[[#This Row],[Type]]&amp;DiscreteStatsTable[[#This Row],[Source]]</f>
        <v>Unnamed ProjectPartNVA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5994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69</v>
      </c>
      <c r="C15">
        <v>3</v>
      </c>
      <c r="D15" t="s">
        <v>70</v>
      </c>
      <c r="E15" t="s">
        <v>73</v>
      </c>
      <c r="F15" t="s">
        <v>72</v>
      </c>
      <c r="G15">
        <v>0</v>
      </c>
      <c r="H15">
        <v>0</v>
      </c>
      <c r="I15">
        <v>0</v>
      </c>
      <c r="J15">
        <v>0</v>
      </c>
      <c r="K15">
        <v>6014</v>
      </c>
      <c r="L15" t="str">
        <f>DiscreteStatsTable[[#This Row],[ProjectName]]&amp;DiscreteStatsTable[[#This Row],[Name]]&amp;DiscreteStatsTable[[#This Row],[Type]]&amp;DiscreteStatsTable[[#This Row],[Source]]</f>
        <v>Unnamed ProjectPartOther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5994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69</v>
      </c>
      <c r="C16">
        <v>3</v>
      </c>
      <c r="D16" t="s">
        <v>70</v>
      </c>
      <c r="E16" t="s">
        <v>74</v>
      </c>
      <c r="F16" t="s">
        <v>72</v>
      </c>
      <c r="G16">
        <v>1.0622971012842199</v>
      </c>
      <c r="H16">
        <v>4.2799347889059796E-3</v>
      </c>
      <c r="I16">
        <v>0.80014383881825801</v>
      </c>
      <c r="J16">
        <v>1.6248655943600201</v>
      </c>
      <c r="K16">
        <v>6014</v>
      </c>
      <c r="L16" t="str">
        <f>DiscreteStatsTable[[#This Row],[ProjectName]]&amp;DiscreteStatsTable[[#This Row],[Name]]&amp;DiscreteStatsTable[[#This Row],[Type]]&amp;DiscreteStatsTable[[#This Row],[Source]]</f>
        <v>Unnamed ProjectPartTotal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1.063684060035258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2.4676533793142343E-3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3.0639963611403414E-3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1.0605139121415601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1.0671074684852999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0.80000921539613001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1.74220680959206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5994</v>
      </c>
      <c r="W16">
        <f>IF((DiscreteStatsTable[[#This Row],[RepsRequested]]&gt;1),DiscreteStatsTable[[#This Row],[HalfWidth]],DiscreteStatsTable[[#This Row],[BatchMeansHalfWidth]])</f>
        <v>3.0639963611403414E-3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69</v>
      </c>
      <c r="C17">
        <v>3</v>
      </c>
      <c r="D17" t="s">
        <v>70</v>
      </c>
      <c r="E17" t="s">
        <v>75</v>
      </c>
      <c r="F17" t="s">
        <v>72</v>
      </c>
      <c r="G17">
        <v>0</v>
      </c>
      <c r="H17">
        <v>0</v>
      </c>
      <c r="I17">
        <v>0</v>
      </c>
      <c r="J17">
        <v>0</v>
      </c>
      <c r="K17">
        <v>6014</v>
      </c>
      <c r="L17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5994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69</v>
      </c>
      <c r="C18">
        <v>3</v>
      </c>
      <c r="D18" t="s">
        <v>70</v>
      </c>
      <c r="E18" t="s">
        <v>76</v>
      </c>
      <c r="F18" t="s">
        <v>72</v>
      </c>
      <c r="G18">
        <v>1.05142648436955</v>
      </c>
      <c r="H18">
        <v>3.51915826919165E-3</v>
      </c>
      <c r="I18">
        <v>0.80014383881825801</v>
      </c>
      <c r="J18">
        <v>1.30579171231057</v>
      </c>
      <c r="K18">
        <v>6014</v>
      </c>
      <c r="L18" t="str">
        <f>DiscreteStatsTable[[#This Row],[ProjectName]]&amp;DiscreteStatsTable[[#This Row],[Name]]&amp;DiscreteStatsTable[[#This Row],[Type]]&amp;DiscreteStatsTable[[#This Row],[Source]]</f>
        <v>Unnamed ProjectPartVA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1.052737727881158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2.1386715662187234E-3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2.6555114877558459E-3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1.0499538747610599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1.05555349736308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0.80000921539613001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1.3059593485086201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5994</v>
      </c>
      <c r="W18">
        <f>IF((DiscreteStatsTable[[#This Row],[RepsRequested]]&gt;1),DiscreteStatsTable[[#This Row],[HalfWidth]],DiscreteStatsTable[[#This Row],[BatchMeansHalfWidth]])</f>
        <v>2.6555114877558459E-3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69</v>
      </c>
      <c r="C19">
        <v>3</v>
      </c>
      <c r="D19" t="s">
        <v>70</v>
      </c>
      <c r="E19" t="s">
        <v>77</v>
      </c>
      <c r="F19" t="s">
        <v>72</v>
      </c>
      <c r="G19">
        <v>1.0870616914667E-2</v>
      </c>
      <c r="H19">
        <v>1.2544227636963E-3</v>
      </c>
      <c r="I19">
        <v>0</v>
      </c>
      <c r="J19">
        <v>0.37991013349255798</v>
      </c>
      <c r="K19">
        <v>6014</v>
      </c>
      <c r="L19" t="str">
        <f>DiscreteStatsTable[[#This Row],[ProjectName]]&amp;DiscreteStatsTable[[#This Row],[Name]]&amp;DiscreteStatsTable[[#This Row],[Type]]&amp;DiscreteStatsTable[[#This Row],[Source]]</f>
        <v>Unnamed ProjectPartWait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1.0946332154103041E-2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3.7189582506585203E-4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4.6176965706655335E-4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1.05600373805095E-2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1.15539711222141E-2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0.60800735163957098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5994</v>
      </c>
      <c r="W19">
        <f>IF((DiscreteStatsTable[[#This Row],[RepsRequested]]&gt;1),DiscreteStatsTable[[#This Row],[HalfWidth]],DiscreteStatsTable[[#This Row],[BatchMeansHalfWidth]])</f>
        <v>4.6176965706655335E-4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69</v>
      </c>
      <c r="C20">
        <v>4</v>
      </c>
      <c r="D20" t="s">
        <v>70</v>
      </c>
      <c r="E20" t="s">
        <v>71</v>
      </c>
      <c r="F20" t="s">
        <v>72</v>
      </c>
      <c r="G20">
        <v>0</v>
      </c>
      <c r="H20">
        <v>0</v>
      </c>
      <c r="I20">
        <v>0</v>
      </c>
      <c r="J20">
        <v>0</v>
      </c>
      <c r="K20">
        <v>5986</v>
      </c>
      <c r="L20" t="str">
        <f>DiscreteStatsTable[[#This Row],[ProjectName]]&amp;DiscreteStatsTable[[#This Row],[Name]]&amp;DiscreteStatsTable[[#This Row],[Type]]&amp;DiscreteStatsTable[[#This Row],[Source]]</f>
        <v>Unnamed ProjectPartNVA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5994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69</v>
      </c>
      <c r="C21">
        <v>4</v>
      </c>
      <c r="D21" t="s">
        <v>70</v>
      </c>
      <c r="E21" t="s">
        <v>73</v>
      </c>
      <c r="F21" t="s">
        <v>72</v>
      </c>
      <c r="G21">
        <v>0</v>
      </c>
      <c r="H21">
        <v>0</v>
      </c>
      <c r="I21">
        <v>0</v>
      </c>
      <c r="J21">
        <v>0</v>
      </c>
      <c r="K21">
        <v>5986</v>
      </c>
      <c r="L21" t="str">
        <f>DiscreteStatsTable[[#This Row],[ProjectName]]&amp;DiscreteStatsTable[[#This Row],[Name]]&amp;DiscreteStatsTable[[#This Row],[Type]]&amp;DiscreteStatsTable[[#This Row],[Source]]</f>
        <v>Unnamed ProjectPartOther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5994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69</v>
      </c>
      <c r="C22">
        <v>4</v>
      </c>
      <c r="D22" t="s">
        <v>70</v>
      </c>
      <c r="E22" t="s">
        <v>74</v>
      </c>
      <c r="F22" t="s">
        <v>72</v>
      </c>
      <c r="G22">
        <v>1.0671074684852999</v>
      </c>
      <c r="H22">
        <v>3.51332788585283E-3</v>
      </c>
      <c r="I22">
        <v>0.80000921539613001</v>
      </c>
      <c r="J22">
        <v>1.6470544395092499</v>
      </c>
      <c r="K22">
        <v>5986</v>
      </c>
      <c r="L22" t="str">
        <f>DiscreteStatsTable[[#This Row],[ProjectName]]&amp;DiscreteStatsTable[[#This Row],[Name]]&amp;DiscreteStatsTable[[#This Row],[Type]]&amp;DiscreteStatsTable[[#This Row],[Source]]</f>
        <v>Unnamed ProjectPartTotal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1.063684060035258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2.4676533793142343E-3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3.0639963611403414E-3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1.0605139121415601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1.0671074684852999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0.80000921539613001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1.74220680959206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5994</v>
      </c>
      <c r="W22">
        <f>IF((DiscreteStatsTable[[#This Row],[RepsRequested]]&gt;1),DiscreteStatsTable[[#This Row],[HalfWidth]],DiscreteStatsTable[[#This Row],[BatchMeansHalfWidth]])</f>
        <v>3.0639963611403414E-3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69</v>
      </c>
      <c r="C23">
        <v>4</v>
      </c>
      <c r="D23" t="s">
        <v>70</v>
      </c>
      <c r="E23" t="s">
        <v>75</v>
      </c>
      <c r="F23" t="s">
        <v>72</v>
      </c>
      <c r="G23">
        <v>0</v>
      </c>
      <c r="H23">
        <v>0</v>
      </c>
      <c r="I23">
        <v>0</v>
      </c>
      <c r="J23">
        <v>0</v>
      </c>
      <c r="K23">
        <v>5986</v>
      </c>
      <c r="L23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5994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69</v>
      </c>
      <c r="C24">
        <v>4</v>
      </c>
      <c r="D24" t="s">
        <v>70</v>
      </c>
      <c r="E24" t="s">
        <v>76</v>
      </c>
      <c r="F24" t="s">
        <v>72</v>
      </c>
      <c r="G24">
        <v>1.05555349736308</v>
      </c>
      <c r="H24">
        <v>3.2882608553497102E-3</v>
      </c>
      <c r="I24">
        <v>0.80000921539613001</v>
      </c>
      <c r="J24">
        <v>1.30595181358649</v>
      </c>
      <c r="K24">
        <v>5986</v>
      </c>
      <c r="L24" t="str">
        <f>DiscreteStatsTable[[#This Row],[ProjectName]]&amp;DiscreteStatsTable[[#This Row],[Name]]&amp;DiscreteStatsTable[[#This Row],[Type]]&amp;DiscreteStatsTable[[#This Row],[Source]]</f>
        <v>Unnamed ProjectPartVA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1.052737727881158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2.1386715662187234E-3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2.6555114877558459E-3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1.0499538747610599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1.05555349736308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0.80000921539613001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1.3059593485086201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5994</v>
      </c>
      <c r="W24">
        <f>IF((DiscreteStatsTable[[#This Row],[RepsRequested]]&gt;1),DiscreteStatsTable[[#This Row],[HalfWidth]],DiscreteStatsTable[[#This Row],[BatchMeansHalfWidth]])</f>
        <v>2.6555114877558459E-3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69</v>
      </c>
      <c r="C25">
        <v>4</v>
      </c>
      <c r="D25" t="s">
        <v>70</v>
      </c>
      <c r="E25" t="s">
        <v>77</v>
      </c>
      <c r="F25" t="s">
        <v>72</v>
      </c>
      <c r="G25">
        <v>1.15539711222141E-2</v>
      </c>
      <c r="H25">
        <v>1.44793709033643E-3</v>
      </c>
      <c r="I25">
        <v>0</v>
      </c>
      <c r="J25">
        <v>0.40615109967393398</v>
      </c>
      <c r="K25">
        <v>5986</v>
      </c>
      <c r="L25" t="str">
        <f>DiscreteStatsTable[[#This Row],[ProjectName]]&amp;DiscreteStatsTable[[#This Row],[Name]]&amp;DiscreteStatsTable[[#This Row],[Type]]&amp;DiscreteStatsTable[[#This Row],[Source]]</f>
        <v>Unnamed ProjectPartWait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1.0946332154103041E-2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3.7189582506585203E-4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4.6176965706655335E-4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1.05600373805095E-2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1.15539711222141E-2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0.60800735163957098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5994</v>
      </c>
      <c r="W25">
        <f>IF((DiscreteStatsTable[[#This Row],[RepsRequested]]&gt;1),DiscreteStatsTable[[#This Row],[HalfWidth]],DiscreteStatsTable[[#This Row],[BatchMeansHalfWidth]])</f>
        <v>4.6176965706655335E-4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69</v>
      </c>
      <c r="C26">
        <v>5</v>
      </c>
      <c r="D26" t="s">
        <v>70</v>
      </c>
      <c r="E26" t="s">
        <v>71</v>
      </c>
      <c r="F26" t="s">
        <v>72</v>
      </c>
      <c r="G26">
        <v>0</v>
      </c>
      <c r="H26">
        <v>0</v>
      </c>
      <c r="I26">
        <v>0</v>
      </c>
      <c r="J26">
        <v>0</v>
      </c>
      <c r="K26">
        <v>5987</v>
      </c>
      <c r="L26" t="str">
        <f>DiscreteStatsTable[[#This Row],[ProjectName]]&amp;DiscreteStatsTable[[#This Row],[Name]]&amp;DiscreteStatsTable[[#This Row],[Type]]&amp;DiscreteStatsTable[[#This Row],[Source]]</f>
        <v>Unnamed ProjectPartNVA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5994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69</v>
      </c>
      <c r="C27">
        <v>5</v>
      </c>
      <c r="D27" t="s">
        <v>70</v>
      </c>
      <c r="E27" t="s">
        <v>73</v>
      </c>
      <c r="F27" t="s">
        <v>72</v>
      </c>
      <c r="G27">
        <v>0</v>
      </c>
      <c r="H27">
        <v>0</v>
      </c>
      <c r="I27">
        <v>0</v>
      </c>
      <c r="J27">
        <v>0</v>
      </c>
      <c r="K27">
        <v>5987</v>
      </c>
      <c r="L27" t="str">
        <f>DiscreteStatsTable[[#This Row],[ProjectName]]&amp;DiscreteStatsTable[[#This Row],[Name]]&amp;DiscreteStatsTable[[#This Row],[Type]]&amp;DiscreteStatsTable[[#This Row],[Source]]</f>
        <v>Unnamed ProjectPartOther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5994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69</v>
      </c>
      <c r="C28">
        <v>5</v>
      </c>
      <c r="D28" t="s">
        <v>70</v>
      </c>
      <c r="E28" t="s">
        <v>74</v>
      </c>
      <c r="F28" t="s">
        <v>72</v>
      </c>
      <c r="G28">
        <v>1.0605139121415601</v>
      </c>
      <c r="H28">
        <v>4.7814212599731403E-3</v>
      </c>
      <c r="I28">
        <v>0.80005223373791501</v>
      </c>
      <c r="J28">
        <v>1.6873554346821</v>
      </c>
      <c r="K28">
        <v>5987</v>
      </c>
      <c r="L28" t="str">
        <f>DiscreteStatsTable[[#This Row],[ProjectName]]&amp;DiscreteStatsTable[[#This Row],[Name]]&amp;DiscreteStatsTable[[#This Row],[Type]]&amp;DiscreteStatsTable[[#This Row],[Source]]</f>
        <v>Unnamed ProjectPartTotal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1.063684060035258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2.4676533793142343E-3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3.0639963611403414E-3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1.0605139121415601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1.0671074684852999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0.80000921539613001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1.74220680959206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5994</v>
      </c>
      <c r="W28">
        <f>IF((DiscreteStatsTable[[#This Row],[RepsRequested]]&gt;1),DiscreteStatsTable[[#This Row],[HalfWidth]],DiscreteStatsTable[[#This Row],[BatchMeansHalfWidth]])</f>
        <v>3.0639963611403414E-3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69</v>
      </c>
      <c r="C29">
        <v>5</v>
      </c>
      <c r="D29" t="s">
        <v>70</v>
      </c>
      <c r="E29" t="s">
        <v>75</v>
      </c>
      <c r="F29" t="s">
        <v>72</v>
      </c>
      <c r="G29">
        <v>0</v>
      </c>
      <c r="H29">
        <v>0</v>
      </c>
      <c r="I29">
        <v>0</v>
      </c>
      <c r="J29">
        <v>0</v>
      </c>
      <c r="K29">
        <v>5987</v>
      </c>
      <c r="L29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5994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69</v>
      </c>
      <c r="C30">
        <v>5</v>
      </c>
      <c r="D30" t="s">
        <v>70</v>
      </c>
      <c r="E30" t="s">
        <v>76</v>
      </c>
      <c r="F30" t="s">
        <v>72</v>
      </c>
      <c r="G30">
        <v>1.0499538747610599</v>
      </c>
      <c r="H30">
        <v>3.6924414011591999E-3</v>
      </c>
      <c r="I30">
        <v>0.80005223373791501</v>
      </c>
      <c r="J30">
        <v>1.3059456756827801</v>
      </c>
      <c r="K30">
        <v>5987</v>
      </c>
      <c r="L30" t="str">
        <f>DiscreteStatsTable[[#This Row],[ProjectName]]&amp;DiscreteStatsTable[[#This Row],[Name]]&amp;DiscreteStatsTable[[#This Row],[Type]]&amp;DiscreteStatsTable[[#This Row],[Source]]</f>
        <v>Unnamed ProjectPartVA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1.052737727881158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2.1386715662187234E-3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2.6555114877558459E-3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1.0499538747610599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1.05555349736308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0.80000921539613001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1.3059593485086201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5994</v>
      </c>
      <c r="W30">
        <f>IF((DiscreteStatsTable[[#This Row],[RepsRequested]]&gt;1),DiscreteStatsTable[[#This Row],[HalfWidth]],DiscreteStatsTable[[#This Row],[BatchMeansHalfWidth]])</f>
        <v>2.6555114877558459E-3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69</v>
      </c>
      <c r="C31">
        <v>5</v>
      </c>
      <c r="D31" t="s">
        <v>70</v>
      </c>
      <c r="E31" t="s">
        <v>77</v>
      </c>
      <c r="F31" t="s">
        <v>72</v>
      </c>
      <c r="G31">
        <v>1.05600373805095E-2</v>
      </c>
      <c r="H31">
        <v>1.38469949357105E-3</v>
      </c>
      <c r="I31">
        <v>0</v>
      </c>
      <c r="J31">
        <v>0.49713031401006402</v>
      </c>
      <c r="K31">
        <v>5987</v>
      </c>
      <c r="L31" t="str">
        <f>DiscreteStatsTable[[#This Row],[ProjectName]]&amp;DiscreteStatsTable[[#This Row],[Name]]&amp;DiscreteStatsTable[[#This Row],[Type]]&amp;DiscreteStatsTable[[#This Row],[Source]]</f>
        <v>Unnamed ProjectPartWait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1.0946332154103041E-2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3.7189582506585203E-4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4.6176965706655335E-4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1.05600373805095E-2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1.15539711222141E-2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0.60800735163957098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5994</v>
      </c>
      <c r="W31">
        <f>IF((DiscreteStatsTable[[#This Row],[RepsRequested]]&gt;1),DiscreteStatsTable[[#This Row],[HalfWidth]],DiscreteStatsTable[[#This Row],[BatchMeansHalfWidth]])</f>
        <v>4.6176965706655335E-4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69</v>
      </c>
      <c r="C32">
        <v>1</v>
      </c>
      <c r="D32" t="s">
        <v>78</v>
      </c>
      <c r="E32" t="s">
        <v>79</v>
      </c>
      <c r="F32" t="s">
        <v>80</v>
      </c>
      <c r="G32">
        <v>1.0969539958796499E-2</v>
      </c>
      <c r="H32">
        <v>1.6416397468640401E-3</v>
      </c>
      <c r="I32">
        <v>0</v>
      </c>
      <c r="J32">
        <v>0.60800735163957098</v>
      </c>
      <c r="K32">
        <v>5996</v>
      </c>
      <c r="L32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1.0946332154102999E-2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3.7189582506585544E-4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4.6176965706655763E-4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1.05600373805095E-2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1.15539711222141E-2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0.60800735163957098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5994</v>
      </c>
      <c r="W32">
        <f>IF((DiscreteStatsTable[[#This Row],[RepsRequested]]&gt;1),DiscreteStatsTable[[#This Row],[HalfWidth]],DiscreteStatsTable[[#This Row],[BatchMeansHalfWidth]])</f>
        <v>4.6176965706655763E-4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69</v>
      </c>
      <c r="C33">
        <v>2</v>
      </c>
      <c r="D33" t="s">
        <v>78</v>
      </c>
      <c r="E33" t="s">
        <v>79</v>
      </c>
      <c r="F33" t="s">
        <v>80</v>
      </c>
      <c r="G33">
        <v>1.0777495394328001E-2</v>
      </c>
      <c r="H33">
        <v>1.4665932678841001E-3</v>
      </c>
      <c r="I33">
        <v>0</v>
      </c>
      <c r="J33">
        <v>0.60309707317355798</v>
      </c>
      <c r="K33">
        <v>5987</v>
      </c>
      <c r="L33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1.0946332154102999E-2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3.7189582506585544E-4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4.6176965706655763E-4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1.05600373805095E-2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1.15539711222141E-2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0.60800735163957098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5994</v>
      </c>
      <c r="W33">
        <f>IF((DiscreteStatsTable[[#This Row],[RepsRequested]]&gt;1),DiscreteStatsTable[[#This Row],[HalfWidth]],DiscreteStatsTable[[#This Row],[BatchMeansHalfWidth]])</f>
        <v>4.6176965706655763E-4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69</v>
      </c>
      <c r="C34">
        <v>3</v>
      </c>
      <c r="D34" t="s">
        <v>78</v>
      </c>
      <c r="E34" t="s">
        <v>79</v>
      </c>
      <c r="F34" t="s">
        <v>80</v>
      </c>
      <c r="G34">
        <v>1.0870616914666901E-2</v>
      </c>
      <c r="H34">
        <v>1.2544227636963E-3</v>
      </c>
      <c r="I34">
        <v>0</v>
      </c>
      <c r="J34">
        <v>0.37991013349255798</v>
      </c>
      <c r="K34">
        <v>6014</v>
      </c>
      <c r="L34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1.0946332154102999E-2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3.7189582506585544E-4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4.6176965706655763E-4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1.05600373805095E-2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1.15539711222141E-2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0.60800735163957098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5994</v>
      </c>
      <c r="W34">
        <f>IF((DiscreteStatsTable[[#This Row],[RepsRequested]]&gt;1),DiscreteStatsTable[[#This Row],[HalfWidth]],DiscreteStatsTable[[#This Row],[BatchMeansHalfWidth]])</f>
        <v>4.6176965706655763E-4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69</v>
      </c>
      <c r="C35">
        <v>4</v>
      </c>
      <c r="D35" t="s">
        <v>78</v>
      </c>
      <c r="E35" t="s">
        <v>79</v>
      </c>
      <c r="F35" t="s">
        <v>80</v>
      </c>
      <c r="G35">
        <v>1.15539711222141E-2</v>
      </c>
      <c r="H35">
        <v>1.43414892641189E-3</v>
      </c>
      <c r="I35">
        <v>0</v>
      </c>
      <c r="J35">
        <v>0.40615109967393398</v>
      </c>
      <c r="K35">
        <v>5986</v>
      </c>
      <c r="L35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1.0946332154102999E-2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3.7189582506585544E-4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4.6176965706655763E-4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1.05600373805095E-2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1.15539711222141E-2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0.60800735163957098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5994</v>
      </c>
      <c r="W35">
        <f>IF((DiscreteStatsTable[[#This Row],[RepsRequested]]&gt;1),DiscreteStatsTable[[#This Row],[HalfWidth]],DiscreteStatsTable[[#This Row],[BatchMeansHalfWidth]])</f>
        <v>4.6176965706655763E-4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69</v>
      </c>
      <c r="C36">
        <v>5</v>
      </c>
      <c r="D36" t="s">
        <v>78</v>
      </c>
      <c r="E36" t="s">
        <v>79</v>
      </c>
      <c r="F36" t="s">
        <v>80</v>
      </c>
      <c r="G36">
        <v>1.05600373805095E-2</v>
      </c>
      <c r="H36">
        <v>1.38469949357105E-3</v>
      </c>
      <c r="I36">
        <v>0</v>
      </c>
      <c r="J36">
        <v>0.49713031401006402</v>
      </c>
      <c r="K36">
        <v>5987</v>
      </c>
      <c r="L36" t="str">
        <f>DiscreteStatsTable[[#This Row],[ProjectName]]&amp;DiscreteStatsTable[[#This Row],[Name]]&amp;DiscreteStatsTable[[#This Row],[Type]]&amp;DiscreteStatsTable[[#This Row],[Source]]</f>
        <v>Unnamed ProjectProcess 3.QueueWaiting TimeQueue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1.0946332154102999E-2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3.7189582506585544E-4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4.6176965706655763E-4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1.05600373805095E-2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1.15539711222141E-2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0.60800735163957098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5994</v>
      </c>
      <c r="W36">
        <f>IF((DiscreteStatsTable[[#This Row],[RepsRequested]]&gt;1),DiscreteStatsTable[[#This Row],[HalfWidth]],DiscreteStatsTable[[#This Row],[BatchMeansHalfWidth]])</f>
        <v>4.6176965706655763E-4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</v>
      </c>
      <c r="Y36">
        <f>IF(DiscreteStatsTable[[#This Row],[RepsRequested]]=DiscreteStatsTable[[#This Row],[RepsWithStatObserved]],1,0)</f>
        <v>1</v>
      </c>
    </row>
    <row r="37" spans="1:25" x14ac:dyDescent="0.3"/>
    <row r="38" spans="1:25" x14ac:dyDescent="0.3"/>
    <row r="39" spans="1:25" x14ac:dyDescent="0.3"/>
    <row r="40" spans="1:25" x14ac:dyDescent="0.3"/>
    <row r="41" spans="1:25" x14ac:dyDescent="0.3"/>
    <row r="42" spans="1:25" x14ac:dyDescent="0.3"/>
    <row r="43" spans="1:25" x14ac:dyDescent="0.3"/>
    <row r="44" spans="1:25" x14ac:dyDescent="0.3"/>
    <row r="45" spans="1:25" x14ac:dyDescent="0.3"/>
    <row r="46" spans="1:25" x14ac:dyDescent="0.3"/>
    <row r="47" spans="1:25" x14ac:dyDescent="0.3"/>
    <row r="48" spans="1:25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</sheetData>
  <phoneticPr fontId="2" type="noConversion"/>
  <conditionalFormatting sqref="H2:H36 Q2:Q36">
    <cfRule type="expression" dxfId="20" priority="23">
      <formula>H2=200000000000000000000</formula>
    </cfRule>
  </conditionalFormatting>
  <conditionalFormatting sqref="H2:H36">
    <cfRule type="expression" dxfId="19" priority="21">
      <formula>H2=300000000000000000000</formula>
    </cfRule>
  </conditionalFormatting>
  <conditionalFormatting sqref="L2:Y36">
    <cfRule type="expression" dxfId="18" priority="19">
      <formula>MOD(ROW(),2)=0</formula>
    </cfRule>
  </conditionalFormatting>
  <conditionalFormatting sqref="Y2:Y36">
    <cfRule type="expression" dxfId="17" priority="14">
      <formula>Y2=0</formula>
    </cfRule>
    <cfRule type="expression" dxfId="16" priority="16">
      <formula>Y2=1</formula>
    </cfRule>
  </conditionalFormatting>
  <conditionalFormatting sqref="Y3:Y36">
    <cfRule type="expression" dxfId="15" priority="15">
      <formula>Y3=1</formula>
    </cfRule>
  </conditionalFormatting>
  <conditionalFormatting sqref="W2:W36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6 W2:W36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6"/>
  <sheetViews>
    <sheetView workbookViewId="0">
      <selection activeCell="A2" sqref="A2:L1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4.58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2.914062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81</v>
      </c>
      <c r="F2" t="s">
        <v>72</v>
      </c>
      <c r="G2">
        <v>0.70888073710475097</v>
      </c>
      <c r="H2">
        <v>4.1739850287928803E-3</v>
      </c>
      <c r="I2">
        <v>0</v>
      </c>
      <c r="J2">
        <v>2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0.70837642130027301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1.7756154639777132E-3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2.2047177962749988E-3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0.705477421332391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0.70983172317641896</v>
      </c>
      <c r="U2">
        <f>IF((ContinuousStatsTable[[#This Row],[RepsRequested]]&gt;1),ContinuousStatsTable[[#This Row],[HalfWidth]],ContinuousStatsTable[[#This Row],[BatchMeansHalfWidth]])</f>
        <v>2.2047177962749988E-3</v>
      </c>
    </row>
    <row r="3" spans="1:21" x14ac:dyDescent="0.3">
      <c r="A3" t="s">
        <v>66</v>
      </c>
      <c r="B3" t="s">
        <v>69</v>
      </c>
      <c r="C3">
        <v>1</v>
      </c>
      <c r="D3" t="s">
        <v>78</v>
      </c>
      <c r="E3" t="s">
        <v>82</v>
      </c>
      <c r="F3" t="s">
        <v>80</v>
      </c>
      <c r="G3">
        <v>7.2991122679907199E-3</v>
      </c>
      <c r="H3">
        <v>9.6692346787104904E-4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7.2883951199388623E-3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2.4566145792275114E-4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3.0502898804892891E-4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7.0247715330122298E-3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7.6846745708415197E-3</v>
      </c>
      <c r="U3">
        <f>IF((ContinuousStatsTable[[#This Row],[RepsRequested]]&gt;1),ContinuousStatsTable[[#This Row],[HalfWidth]],ContinuousStatsTable[[#This Row],[BatchMeansHalfWidth]])</f>
        <v>3.0502898804892891E-4</v>
      </c>
    </row>
    <row r="4" spans="1:21" x14ac:dyDescent="0.3">
      <c r="A4" t="s">
        <v>66</v>
      </c>
      <c r="B4" t="s">
        <v>69</v>
      </c>
      <c r="C4">
        <v>1</v>
      </c>
      <c r="D4" t="s">
        <v>83</v>
      </c>
      <c r="E4" t="s">
        <v>84</v>
      </c>
      <c r="F4" t="s">
        <v>85</v>
      </c>
      <c r="G4">
        <v>0.70158162483676401</v>
      </c>
      <c r="H4">
        <v>3.7554910316360602E-3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0.70108802618033716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1.6018493040346759E-3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1.9889586113676122E-3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0.69845264979938304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0.70256773538478401</v>
      </c>
      <c r="U4">
        <f>IF((ContinuousStatsTable[[#This Row],[RepsRequested]]&gt;1),ContinuousStatsTable[[#This Row],[HalfWidth]],ContinuousStatsTable[[#This Row],[BatchMeansHalfWidth]])</f>
        <v>1.9889586113676122E-3</v>
      </c>
    </row>
    <row r="5" spans="1:21" x14ac:dyDescent="0.3">
      <c r="A5" t="s">
        <v>66</v>
      </c>
      <c r="B5" t="s">
        <v>69</v>
      </c>
      <c r="C5">
        <v>1</v>
      </c>
      <c r="D5" t="s">
        <v>83</v>
      </c>
      <c r="E5" t="s">
        <v>86</v>
      </c>
      <c r="F5" t="s">
        <v>85</v>
      </c>
      <c r="G5">
        <v>0.70158162483676401</v>
      </c>
      <c r="H5">
        <v>3.7554910316360602E-3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0.70108802618033716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1.6018493040346759E-3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1.9889586113676122E-3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0.69845264979938304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0.70256773538478401</v>
      </c>
      <c r="U5">
        <f>IF((ContinuousStatsTable[[#This Row],[RepsRequested]]&gt;1),ContinuousStatsTable[[#This Row],[HalfWidth]],ContinuousStatsTable[[#This Row],[BatchMeansHalfWidth]])</f>
        <v>1.9889586113676122E-3</v>
      </c>
    </row>
    <row r="6" spans="1:21" x14ac:dyDescent="0.3">
      <c r="A6" t="s">
        <v>66</v>
      </c>
      <c r="B6" t="s">
        <v>69</v>
      </c>
      <c r="C6">
        <v>1</v>
      </c>
      <c r="D6" t="s">
        <v>83</v>
      </c>
      <c r="E6" t="s">
        <v>87</v>
      </c>
      <c r="F6" t="s">
        <v>85</v>
      </c>
      <c r="G6">
        <v>1</v>
      </c>
      <c r="H6">
        <v>2E+20</v>
      </c>
      <c r="I6">
        <v>1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3">
      <c r="A7" t="s">
        <v>66</v>
      </c>
      <c r="B7" t="s">
        <v>69</v>
      </c>
      <c r="C7">
        <v>2</v>
      </c>
      <c r="D7" t="s">
        <v>70</v>
      </c>
      <c r="E7" t="s">
        <v>81</v>
      </c>
      <c r="F7" t="s">
        <v>72</v>
      </c>
      <c r="G7">
        <v>0.70801137213466803</v>
      </c>
      <c r="H7">
        <v>4.3036829382557202E-3</v>
      </c>
      <c r="I7">
        <v>0</v>
      </c>
      <c r="J7">
        <v>2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ProjectPartWIPEntity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0.70837642130027301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1.7756154639777132E-3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2.2047177962749988E-3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0.705477421332391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0.70983172317641896</v>
      </c>
      <c r="U7">
        <f>IF((ContinuousStatsTable[[#This Row],[RepsRequested]]&gt;1),ContinuousStatsTable[[#This Row],[HalfWidth]],ContinuousStatsTable[[#This Row],[BatchMeansHalfWidth]])</f>
        <v>2.2047177962749988E-3</v>
      </c>
    </row>
    <row r="8" spans="1:21" x14ac:dyDescent="0.3">
      <c r="A8" t="s">
        <v>66</v>
      </c>
      <c r="B8" t="s">
        <v>69</v>
      </c>
      <c r="C8">
        <v>2</v>
      </c>
      <c r="D8" t="s">
        <v>78</v>
      </c>
      <c r="E8" t="s">
        <v>82</v>
      </c>
      <c r="F8" t="s">
        <v>80</v>
      </c>
      <c r="G8">
        <v>7.1694294362046398E-3</v>
      </c>
      <c r="H8">
        <v>9.6183695368171702E-4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7.2883951199388623E-3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2.4566145792275114E-4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3.0502898804892891E-4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7.0247715330122298E-3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7.6846745708415197E-3</v>
      </c>
      <c r="U8">
        <f>IF((ContinuousStatsTable[[#This Row],[RepsRequested]]&gt;1),ContinuousStatsTable[[#This Row],[HalfWidth]],ContinuousStatsTable[[#This Row],[BatchMeansHalfWidth]])</f>
        <v>3.0502898804892891E-4</v>
      </c>
    </row>
    <row r="9" spans="1:21" x14ac:dyDescent="0.3">
      <c r="A9" t="s">
        <v>66</v>
      </c>
      <c r="B9" t="s">
        <v>69</v>
      </c>
      <c r="C9">
        <v>2</v>
      </c>
      <c r="D9" t="s">
        <v>83</v>
      </c>
      <c r="E9" t="s">
        <v>84</v>
      </c>
      <c r="F9" t="s">
        <v>85</v>
      </c>
      <c r="G9">
        <v>0.700841942698464</v>
      </c>
      <c r="H9">
        <v>3.6542678548601099E-3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0.70108802618033716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1.6018493040346759E-3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1.9889586113676122E-3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0.69845264979938304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0.70256773538478401</v>
      </c>
      <c r="U9">
        <f>IF((ContinuousStatsTable[[#This Row],[RepsRequested]]&gt;1),ContinuousStatsTable[[#This Row],[HalfWidth]],ContinuousStatsTable[[#This Row],[BatchMeansHalfWidth]])</f>
        <v>1.9889586113676122E-3</v>
      </c>
    </row>
    <row r="10" spans="1:21" x14ac:dyDescent="0.3">
      <c r="A10" t="s">
        <v>66</v>
      </c>
      <c r="B10" t="s">
        <v>69</v>
      </c>
      <c r="C10">
        <v>2</v>
      </c>
      <c r="D10" t="s">
        <v>83</v>
      </c>
      <c r="E10" t="s">
        <v>86</v>
      </c>
      <c r="F10" t="s">
        <v>85</v>
      </c>
      <c r="G10">
        <v>0.700841942698464</v>
      </c>
      <c r="H10">
        <v>3.6542678548601099E-3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0.70108802618033716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1.6018493040346759E-3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1.9889586113676122E-3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0.69845264979938304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0.70256773538478401</v>
      </c>
      <c r="U10">
        <f>IF((ContinuousStatsTable[[#This Row],[RepsRequested]]&gt;1),ContinuousStatsTable[[#This Row],[HalfWidth]],ContinuousStatsTable[[#This Row],[BatchMeansHalfWidth]])</f>
        <v>1.9889586113676122E-3</v>
      </c>
    </row>
    <row r="11" spans="1:21" x14ac:dyDescent="0.3">
      <c r="A11" t="s">
        <v>66</v>
      </c>
      <c r="B11" t="s">
        <v>69</v>
      </c>
      <c r="C11">
        <v>2</v>
      </c>
      <c r="D11" t="s">
        <v>83</v>
      </c>
      <c r="E11" t="s">
        <v>87</v>
      </c>
      <c r="F11" t="s">
        <v>85</v>
      </c>
      <c r="G11">
        <v>1</v>
      </c>
      <c r="H11">
        <v>2E+20</v>
      </c>
      <c r="I11">
        <v>1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">
      <c r="A12" t="s">
        <v>66</v>
      </c>
      <c r="B12" t="s">
        <v>69</v>
      </c>
      <c r="C12">
        <v>3</v>
      </c>
      <c r="D12" t="s">
        <v>70</v>
      </c>
      <c r="E12" t="s">
        <v>81</v>
      </c>
      <c r="F12" t="s">
        <v>72</v>
      </c>
      <c r="G12">
        <v>0.70983172317641896</v>
      </c>
      <c r="H12">
        <v>4.3878468492192998E-3</v>
      </c>
      <c r="I12">
        <v>0</v>
      </c>
      <c r="J12">
        <v>2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0.70837642130027301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1.7756154639777132E-3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2.2047177962749988E-3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0.705477421332391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0.70983172317641896</v>
      </c>
      <c r="U12" s="5">
        <f>IF((ContinuousStatsTable[[#This Row],[RepsRequested]]&gt;1),ContinuousStatsTable[[#This Row],[HalfWidth]],ContinuousStatsTable[[#This Row],[BatchMeansHalfWidth]])</f>
        <v>2.2047177962749988E-3</v>
      </c>
    </row>
    <row r="13" spans="1:21" x14ac:dyDescent="0.3">
      <c r="A13" t="s">
        <v>66</v>
      </c>
      <c r="B13" t="s">
        <v>69</v>
      </c>
      <c r="C13">
        <v>3</v>
      </c>
      <c r="D13" t="s">
        <v>78</v>
      </c>
      <c r="E13" t="s">
        <v>82</v>
      </c>
      <c r="F13" t="s">
        <v>80</v>
      </c>
      <c r="G13">
        <v>7.2639877916452003E-3</v>
      </c>
      <c r="H13">
        <v>9.24989214755121E-4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7.2883951199388623E-3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2.4566145792275114E-4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3.0502898804892891E-4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7.0247715330122298E-3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7.6846745708415197E-3</v>
      </c>
      <c r="U13" s="5">
        <f>IF((ContinuousStatsTable[[#This Row],[RepsRequested]]&gt;1),ContinuousStatsTable[[#This Row],[HalfWidth]],ContinuousStatsTable[[#This Row],[BatchMeansHalfWidth]])</f>
        <v>3.0502898804892891E-4</v>
      </c>
    </row>
    <row r="14" spans="1:21" x14ac:dyDescent="0.3">
      <c r="A14" t="s">
        <v>66</v>
      </c>
      <c r="B14" t="s">
        <v>69</v>
      </c>
      <c r="C14">
        <v>3</v>
      </c>
      <c r="D14" t="s">
        <v>83</v>
      </c>
      <c r="E14" t="s">
        <v>84</v>
      </c>
      <c r="F14" t="s">
        <v>85</v>
      </c>
      <c r="G14">
        <v>0.70256773538478401</v>
      </c>
      <c r="H14">
        <v>3.75698481349543E-3</v>
      </c>
      <c r="I14">
        <v>0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0.70108802618033716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1.6018493040346759E-3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1.9889586113676122E-3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0.69845264979938304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0.70256773538478401</v>
      </c>
      <c r="U14" s="5">
        <f>IF((ContinuousStatsTable[[#This Row],[RepsRequested]]&gt;1),ContinuousStatsTable[[#This Row],[HalfWidth]],ContinuousStatsTable[[#This Row],[BatchMeansHalfWidth]])</f>
        <v>1.9889586113676122E-3</v>
      </c>
    </row>
    <row r="15" spans="1:21" x14ac:dyDescent="0.3">
      <c r="A15" t="s">
        <v>66</v>
      </c>
      <c r="B15" t="s">
        <v>69</v>
      </c>
      <c r="C15">
        <v>3</v>
      </c>
      <c r="D15" t="s">
        <v>83</v>
      </c>
      <c r="E15" t="s">
        <v>86</v>
      </c>
      <c r="F15" t="s">
        <v>85</v>
      </c>
      <c r="G15">
        <v>0.70256773538478401</v>
      </c>
      <c r="H15">
        <v>3.75698481349543E-3</v>
      </c>
      <c r="I15">
        <v>0</v>
      </c>
      <c r="J15">
        <v>1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0.70108802618033716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1.6018493040346759E-3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1.9889586113676122E-3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0.69845264979938304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0.70256773538478401</v>
      </c>
      <c r="U15" s="5">
        <f>IF((ContinuousStatsTable[[#This Row],[RepsRequested]]&gt;1),ContinuousStatsTable[[#This Row],[HalfWidth]],ContinuousStatsTable[[#This Row],[BatchMeansHalfWidth]])</f>
        <v>1.9889586113676122E-3</v>
      </c>
    </row>
    <row r="16" spans="1:21" x14ac:dyDescent="0.3">
      <c r="A16" t="s">
        <v>66</v>
      </c>
      <c r="B16" t="s">
        <v>69</v>
      </c>
      <c r="C16">
        <v>3</v>
      </c>
      <c r="D16" t="s">
        <v>83</v>
      </c>
      <c r="E16" t="s">
        <v>87</v>
      </c>
      <c r="F16" t="s">
        <v>85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 s="5">
        <f>IF((ContinuousStatsTable[[#This Row],[RepsRequested]]&gt;1),ContinuousStatsTable[[#This Row],[HalfWidth]],ContinuousStatsTable[[#This Row],[BatchMeansHalfWidth]])</f>
        <v>0</v>
      </c>
    </row>
    <row r="17" spans="1:21" x14ac:dyDescent="0.3">
      <c r="A17" t="s">
        <v>66</v>
      </c>
      <c r="B17" t="s">
        <v>69</v>
      </c>
      <c r="C17">
        <v>4</v>
      </c>
      <c r="D17" t="s">
        <v>70</v>
      </c>
      <c r="E17" t="s">
        <v>81</v>
      </c>
      <c r="F17" t="s">
        <v>72</v>
      </c>
      <c r="G17">
        <v>0.70968085275313597</v>
      </c>
      <c r="H17">
        <v>5.2006137352341598E-3</v>
      </c>
      <c r="I17">
        <v>0</v>
      </c>
      <c r="J17">
        <v>2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0.70837642130027301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1.7756154639777132E-3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2.2047177962749988E-3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0.705477421332391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0.70983172317641896</v>
      </c>
      <c r="U17" s="5">
        <f>IF((ContinuousStatsTable[[#This Row],[RepsRequested]]&gt;1),ContinuousStatsTable[[#This Row],[HalfWidth]],ContinuousStatsTable[[#This Row],[BatchMeansHalfWidth]])</f>
        <v>2.2047177962749988E-3</v>
      </c>
    </row>
    <row r="18" spans="1:21" x14ac:dyDescent="0.3">
      <c r="A18" t="s">
        <v>66</v>
      </c>
      <c r="B18" t="s">
        <v>69</v>
      </c>
      <c r="C18">
        <v>4</v>
      </c>
      <c r="D18" t="s">
        <v>78</v>
      </c>
      <c r="E18" t="s">
        <v>82</v>
      </c>
      <c r="F18" t="s">
        <v>80</v>
      </c>
      <c r="G18">
        <v>7.6846745708415197E-3</v>
      </c>
      <c r="H18">
        <v>9.1675090515611795E-4</v>
      </c>
      <c r="I18">
        <v>0</v>
      </c>
      <c r="J18">
        <v>1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7.2883951199388623E-3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2.4566145792275114E-4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3.0502898804892891E-4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7.0247715330122298E-3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7.6846745708415197E-3</v>
      </c>
      <c r="U18" s="5">
        <f>IF((ContinuousStatsTable[[#This Row],[RepsRequested]]&gt;1),ContinuousStatsTable[[#This Row],[HalfWidth]],ContinuousStatsTable[[#This Row],[BatchMeansHalfWidth]])</f>
        <v>3.0502898804892891E-4</v>
      </c>
    </row>
    <row r="19" spans="1:21" x14ac:dyDescent="0.3">
      <c r="A19" t="s">
        <v>66</v>
      </c>
      <c r="B19" t="s">
        <v>69</v>
      </c>
      <c r="C19">
        <v>4</v>
      </c>
      <c r="D19" t="s">
        <v>83</v>
      </c>
      <c r="E19" t="s">
        <v>84</v>
      </c>
      <c r="F19" t="s">
        <v>85</v>
      </c>
      <c r="G19">
        <v>0.70199617818229099</v>
      </c>
      <c r="H19">
        <v>4.6600393331748804E-3</v>
      </c>
      <c r="I19">
        <v>0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0.70108802618033716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1.6018493040346759E-3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1.9889586113676122E-3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0.69845264979938304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0.70256773538478401</v>
      </c>
      <c r="U19" s="5">
        <f>IF((ContinuousStatsTable[[#This Row],[RepsRequested]]&gt;1),ContinuousStatsTable[[#This Row],[HalfWidth]],ContinuousStatsTable[[#This Row],[BatchMeansHalfWidth]])</f>
        <v>1.9889586113676122E-3</v>
      </c>
    </row>
    <row r="20" spans="1:21" x14ac:dyDescent="0.3">
      <c r="A20" t="s">
        <v>66</v>
      </c>
      <c r="B20" t="s">
        <v>69</v>
      </c>
      <c r="C20">
        <v>4</v>
      </c>
      <c r="D20" t="s">
        <v>83</v>
      </c>
      <c r="E20" t="s">
        <v>86</v>
      </c>
      <c r="F20" t="s">
        <v>85</v>
      </c>
      <c r="G20">
        <v>0.70199617818229099</v>
      </c>
      <c r="H20">
        <v>4.6600393331748804E-3</v>
      </c>
      <c r="I20">
        <v>0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0.70108802618033716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1.6018493040346759E-3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1.9889586113676122E-3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0.69845264979938304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0.70256773538478401</v>
      </c>
      <c r="U20" s="5">
        <f>IF((ContinuousStatsTable[[#This Row],[RepsRequested]]&gt;1),ContinuousStatsTable[[#This Row],[HalfWidth]],ContinuousStatsTable[[#This Row],[BatchMeansHalfWidth]])</f>
        <v>1.9889586113676122E-3</v>
      </c>
    </row>
    <row r="21" spans="1:21" x14ac:dyDescent="0.3">
      <c r="A21" t="s">
        <v>66</v>
      </c>
      <c r="B21" t="s">
        <v>69</v>
      </c>
      <c r="C21">
        <v>4</v>
      </c>
      <c r="D21" t="s">
        <v>83</v>
      </c>
      <c r="E21" t="s">
        <v>87</v>
      </c>
      <c r="F21" t="s">
        <v>85</v>
      </c>
      <c r="G21">
        <v>1</v>
      </c>
      <c r="H21">
        <v>2E+20</v>
      </c>
      <c r="I21">
        <v>1</v>
      </c>
      <c r="J21">
        <v>1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1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1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</v>
      </c>
      <c r="U21" s="5">
        <f>IF((ContinuousStatsTable[[#This Row],[RepsRequested]]&gt;1),ContinuousStatsTable[[#This Row],[HalfWidth]],ContinuousStatsTable[[#This Row],[BatchMeansHalfWidth]])</f>
        <v>0</v>
      </c>
    </row>
    <row r="22" spans="1:21" x14ac:dyDescent="0.3">
      <c r="A22" t="s">
        <v>66</v>
      </c>
      <c r="B22" t="s">
        <v>69</v>
      </c>
      <c r="C22">
        <v>5</v>
      </c>
      <c r="D22" t="s">
        <v>70</v>
      </c>
      <c r="E22" t="s">
        <v>81</v>
      </c>
      <c r="F22" t="s">
        <v>72</v>
      </c>
      <c r="G22">
        <v>0.705477421332391</v>
      </c>
      <c r="H22">
        <v>5.2661572566246699E-3</v>
      </c>
      <c r="I22">
        <v>0</v>
      </c>
      <c r="J22">
        <v>2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0.70837642130027301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1.7756154639777132E-3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2.2047177962749988E-3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0.705477421332391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0.70983172317641896</v>
      </c>
      <c r="U22" s="5">
        <f>IF((ContinuousStatsTable[[#This Row],[RepsRequested]]&gt;1),ContinuousStatsTable[[#This Row],[HalfWidth]],ContinuousStatsTable[[#This Row],[BatchMeansHalfWidth]])</f>
        <v>2.2047177962749988E-3</v>
      </c>
    </row>
    <row r="23" spans="1:21" x14ac:dyDescent="0.3">
      <c r="A23" t="s">
        <v>66</v>
      </c>
      <c r="B23" t="s">
        <v>69</v>
      </c>
      <c r="C23">
        <v>5</v>
      </c>
      <c r="D23" t="s">
        <v>78</v>
      </c>
      <c r="E23" t="s">
        <v>82</v>
      </c>
      <c r="F23" t="s">
        <v>80</v>
      </c>
      <c r="G23">
        <v>7.0247715330122298E-3</v>
      </c>
      <c r="H23">
        <v>3E+20</v>
      </c>
      <c r="I23">
        <v>0</v>
      </c>
      <c r="J23">
        <v>1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ProjectProcess 3.QueueNumber WaitingQueue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7.2883951199388623E-3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2.4566145792275114E-4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3.0502898804892891E-4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7.0247715330122298E-3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7.6846745708415197E-3</v>
      </c>
      <c r="U23" s="5">
        <f>IF((ContinuousStatsTable[[#This Row],[RepsRequested]]&gt;1),ContinuousStatsTable[[#This Row],[HalfWidth]],ContinuousStatsTable[[#This Row],[BatchMeansHalfWidth]])</f>
        <v>3.0502898804892891E-4</v>
      </c>
    </row>
    <row r="24" spans="1:21" x14ac:dyDescent="0.3">
      <c r="A24" t="s">
        <v>66</v>
      </c>
      <c r="B24" t="s">
        <v>69</v>
      </c>
      <c r="C24">
        <v>5</v>
      </c>
      <c r="D24" t="s">
        <v>83</v>
      </c>
      <c r="E24" t="s">
        <v>84</v>
      </c>
      <c r="F24" t="s">
        <v>85</v>
      </c>
      <c r="G24">
        <v>0.69845264979938304</v>
      </c>
      <c r="H24">
        <v>4.70963370649073E-3</v>
      </c>
      <c r="I24">
        <v>0</v>
      </c>
      <c r="J24">
        <v>1</v>
      </c>
      <c r="K24">
        <v>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ProjectResource 1Instantaneous UtilizationResource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0.70108802618033716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1.6018493040346759E-3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1.9889586113676122E-3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0.69845264979938304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0.70256773538478401</v>
      </c>
      <c r="U24" s="5">
        <f>IF((ContinuousStatsTable[[#This Row],[RepsRequested]]&gt;1),ContinuousStatsTable[[#This Row],[HalfWidth]],ContinuousStatsTable[[#This Row],[BatchMeansHalfWidth]])</f>
        <v>1.9889586113676122E-3</v>
      </c>
    </row>
    <row r="25" spans="1:21" x14ac:dyDescent="0.3">
      <c r="A25" t="s">
        <v>66</v>
      </c>
      <c r="B25" t="s">
        <v>69</v>
      </c>
      <c r="C25">
        <v>5</v>
      </c>
      <c r="D25" t="s">
        <v>83</v>
      </c>
      <c r="E25" t="s">
        <v>86</v>
      </c>
      <c r="F25" t="s">
        <v>85</v>
      </c>
      <c r="G25">
        <v>0.69845264979938304</v>
      </c>
      <c r="H25">
        <v>4.70963370649073E-3</v>
      </c>
      <c r="I25">
        <v>0</v>
      </c>
      <c r="J25">
        <v>1</v>
      </c>
      <c r="K25">
        <v>0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ProjectResource 1Number BusyResource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0.70108802618033716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1.6018493040346759E-3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1.9889586113676122E-3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0.69845264979938304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0.70256773538478401</v>
      </c>
      <c r="U25" s="5">
        <f>IF((ContinuousStatsTable[[#This Row],[RepsRequested]]&gt;1),ContinuousStatsTable[[#This Row],[HalfWidth]],ContinuousStatsTable[[#This Row],[BatchMeansHalfWidth]])</f>
        <v>1.9889586113676122E-3</v>
      </c>
    </row>
    <row r="26" spans="1:21" x14ac:dyDescent="0.3">
      <c r="A26" t="s">
        <v>66</v>
      </c>
      <c r="B26" t="s">
        <v>69</v>
      </c>
      <c r="C26">
        <v>5</v>
      </c>
      <c r="D26" t="s">
        <v>83</v>
      </c>
      <c r="E26" t="s">
        <v>87</v>
      </c>
      <c r="F26" t="s">
        <v>85</v>
      </c>
      <c r="G26">
        <v>1</v>
      </c>
      <c r="H26">
        <v>2E+20</v>
      </c>
      <c r="I26">
        <v>1</v>
      </c>
      <c r="J26">
        <v>1</v>
      </c>
      <c r="K26">
        <v>1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ProjectResource 1Number ScheduledResource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</v>
      </c>
      <c r="U26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26">
    <cfRule type="expression" dxfId="11" priority="9">
      <formula>H2=200000000000000000000</formula>
    </cfRule>
  </conditionalFormatting>
  <conditionalFormatting sqref="H2:H26">
    <cfRule type="expression" dxfId="10" priority="7">
      <formula>H2=300000000000000000000</formula>
    </cfRule>
  </conditionalFormatting>
  <conditionalFormatting sqref="M2:U26">
    <cfRule type="expression" dxfId="9" priority="5">
      <formula>MOD(ROW(),2)=0</formula>
    </cfRule>
  </conditionalFormatting>
  <conditionalFormatting sqref="U2:U2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6 U2:U2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7.25" bestFit="1" customWidth="1"/>
    <col min="6" max="6" width="8.9140625" bestFit="1" customWidth="1"/>
    <col min="7" max="7" width="16.1640625" bestFit="1" customWidth="1"/>
    <col min="8" max="8" width="13.5" bestFit="1" customWidth="1"/>
    <col min="9" max="9" width="16.4140625" bestFit="1" customWidth="1"/>
    <col min="10" max="10" width="10.08203125" bestFit="1" customWidth="1"/>
    <col min="11" max="11" width="19.1640625" bestFit="1" customWidth="1"/>
    <col min="12" max="12" width="19.5" bestFit="1" customWidth="1"/>
    <col min="13" max="13" width="11.7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1"/>
  <sheetViews>
    <sheetView workbookViewId="0">
      <selection activeCell="A2" sqref="A2:H3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7.582031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67.664062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4" width="12.33203125" bestFit="1" customWidth="1"/>
    <col min="15" max="15" width="11.25" bestFit="1" customWidth="1"/>
    <col min="16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72</v>
      </c>
      <c r="G2">
        <v>5995</v>
      </c>
      <c r="H2">
        <v>0</v>
      </c>
      <c r="I2" t="str">
        <f>OutputTable[[#This Row],[ProjectName]]&amp;OutputTable[[#This Row],[Name]]&amp;OutputTable[[#This Row],[Type]]&amp;OutputTable[[#This Row],[Source]]</f>
        <v>Unnamed ProjectPart.NumberInNumber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5993.8</v>
      </c>
      <c r="L2" cm="1">
        <f t="array" ref="L2">IFERROR(_xlfn.STDEV.S(IF((OutputTable[GroupByKey]=OutputTable[[#This Row],[GroupByKey]]),(OutputTable[GroupByKey]=OutputTable[[#This Row],[GroupByKey]])*OutputTable[RecordedValue])),0)</f>
        <v>11.861703081766969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14.72824967401268</v>
      </c>
      <c r="O2" cm="1">
        <f t="array" ref="O2">MIN(IF((OutputTable[GroupByKey]=OutputTable[[#This Row],[GroupByKey]]),(OutputTable[GroupByKey]=OutputTable[[#This Row],[GroupByKey]])*OutputTable[RecordedValue]))</f>
        <v>5986</v>
      </c>
      <c r="P2" cm="1">
        <f t="array" ref="P2">MAX(IF((OutputTable[GroupByKey]=OutputTable[[#This Row],[GroupByKey]]),(OutputTable[GroupByKey]=OutputTable[[#This Row],[GroupByKey]])*OutputTable[RecordedValue]))</f>
        <v>6014</v>
      </c>
    </row>
    <row r="3" spans="1:16" x14ac:dyDescent="0.3">
      <c r="A3" t="s">
        <v>66</v>
      </c>
      <c r="B3" t="s">
        <v>69</v>
      </c>
      <c r="C3">
        <v>1</v>
      </c>
      <c r="D3" t="s">
        <v>90</v>
      </c>
      <c r="E3" t="s">
        <v>91</v>
      </c>
      <c r="F3" t="s">
        <v>72</v>
      </c>
      <c r="G3">
        <v>5996</v>
      </c>
      <c r="H3">
        <v>0</v>
      </c>
      <c r="I3" t="str">
        <f>OutputTable[[#This Row],[ProjectName]]&amp;OutputTable[[#This Row],[Name]]&amp;OutputTable[[#This Row],[Type]]&amp;OutputTable[[#This Row],[Source]]</f>
        <v>Unnamed ProjectPart.NumberOutNumber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5994</v>
      </c>
      <c r="L3" cm="1">
        <f t="array" ref="L3">IFERROR(_xlfn.STDEV.S(IF((OutputTable[GroupByKey]=OutputTable[[#This Row],[GroupByKey]]),(OutputTable[GroupByKey]=OutputTable[[#This Row],[GroupByKey]])*OutputTable[RecordedValue])),0)</f>
        <v>11.895377253370318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3" cm="1">
        <f t="array" ref="O3">MIN(IF((OutputTable[GroupByKey]=OutputTable[[#This Row],[GroupByKey]]),(OutputTable[GroupByKey]=OutputTable[[#This Row],[GroupByKey]])*OutputTable[RecordedValue]))</f>
        <v>5986</v>
      </c>
      <c r="P3" cm="1">
        <f t="array" ref="P3">MAX(IF((OutputTable[GroupByKey]=OutputTable[[#This Row],[GroupByKey]]),(OutputTable[GroupByKey]=OutputTable[[#This Row],[GroupByKey]])*OutputTable[RecordedValue]))</f>
        <v>6014</v>
      </c>
    </row>
    <row r="4" spans="1:16" x14ac:dyDescent="0.3">
      <c r="A4" t="s">
        <v>66</v>
      </c>
      <c r="B4" t="s">
        <v>69</v>
      </c>
      <c r="C4">
        <v>1</v>
      </c>
      <c r="D4" t="s">
        <v>92</v>
      </c>
      <c r="E4" t="s">
        <v>93</v>
      </c>
      <c r="F4" t="s">
        <v>85</v>
      </c>
      <c r="G4">
        <v>5996</v>
      </c>
      <c r="H4">
        <v>0</v>
      </c>
      <c r="I4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5994</v>
      </c>
      <c r="L4" cm="1">
        <f t="array" ref="L4">IFERROR(_xlfn.STDEV.S(IF((OutputTable[GroupByKey]=OutputTable[[#This Row],[GroupByKey]]),(OutputTable[GroupByKey]=OutputTable[[#This Row],[GroupByKey]])*OutputTable[RecordedValue])),0)</f>
        <v>11.895377253370318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4" cm="1">
        <f t="array" ref="O4">MIN(IF((OutputTable[GroupByKey]=OutputTable[[#This Row],[GroupByKey]]),(OutputTable[GroupByKey]=OutputTable[[#This Row],[GroupByKey]])*OutputTable[RecordedValue]))</f>
        <v>5986</v>
      </c>
      <c r="P4" cm="1">
        <f t="array" ref="P4">MAX(IF((OutputTable[GroupByKey]=OutputTable[[#This Row],[GroupByKey]]),(OutputTable[GroupByKey]=OutputTable[[#This Row],[GroupByKey]])*OutputTable[RecordedValue]))</f>
        <v>6014</v>
      </c>
    </row>
    <row r="5" spans="1:16" x14ac:dyDescent="0.3">
      <c r="A5" t="s">
        <v>66</v>
      </c>
      <c r="B5" t="s">
        <v>69</v>
      </c>
      <c r="C5">
        <v>1</v>
      </c>
      <c r="D5" t="s">
        <v>94</v>
      </c>
      <c r="E5" t="s">
        <v>95</v>
      </c>
      <c r="F5" t="s">
        <v>85</v>
      </c>
      <c r="G5">
        <v>0.70158162483676401</v>
      </c>
      <c r="H5">
        <v>0</v>
      </c>
      <c r="I5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0.70108802618033716</v>
      </c>
      <c r="L5" cm="1">
        <f t="array" ref="L5">IFERROR(_xlfn.STDEV.S(IF((OutputTable[GroupByKey]=OutputTable[[#This Row],[GroupByKey]]),(OutputTable[GroupByKey]=OutputTable[[#This Row],[GroupByKey]])*OutputTable[RecordedValue])),0)</f>
        <v>1.6018493040346759E-3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1.9889586113676122E-3</v>
      </c>
      <c r="O5" cm="1">
        <f t="array" ref="O5">MIN(IF((OutputTable[GroupByKey]=OutputTable[[#This Row],[GroupByKey]]),(OutputTable[GroupByKey]=OutputTable[[#This Row],[GroupByKey]])*OutputTable[RecordedValue]))</f>
        <v>0.69845264979938304</v>
      </c>
      <c r="P5" cm="1">
        <f t="array" ref="P5">MAX(IF((OutputTable[GroupByKey]=OutputTable[[#This Row],[GroupByKey]]),(OutputTable[GroupByKey]=OutputTable[[#This Row],[GroupByKey]])*OutputTable[RecordedValue]))</f>
        <v>0.70256773538478401</v>
      </c>
    </row>
    <row r="6" spans="1:16" x14ac:dyDescent="0.3">
      <c r="A6" t="s">
        <v>66</v>
      </c>
      <c r="B6" t="s">
        <v>69</v>
      </c>
      <c r="C6">
        <v>1</v>
      </c>
      <c r="D6" t="s">
        <v>96</v>
      </c>
      <c r="E6" t="s">
        <v>91</v>
      </c>
      <c r="F6" t="s">
        <v>97</v>
      </c>
      <c r="G6">
        <v>5996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5994</v>
      </c>
      <c r="L6" cm="1">
        <f t="array" ref="L6">IFERROR(_xlfn.STDEV.S(IF((OutputTable[GroupByKey]=OutputTable[[#This Row],[GroupByKey]]),(OutputTable[GroupByKey]=OutputTable[[#This Row],[GroupByKey]])*OutputTable[RecordedValue])),0)</f>
        <v>11.895377253370318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6" cm="1">
        <f t="array" ref="O6">MIN(IF((OutputTable[GroupByKey]=OutputTable[[#This Row],[GroupByKey]]),(OutputTable[GroupByKey]=OutputTable[[#This Row],[GroupByKey]])*OutputTable[RecordedValue]))</f>
        <v>5986</v>
      </c>
      <c r="P6" cm="1">
        <f t="array" ref="P6">MAX(IF((OutputTable[GroupByKey]=OutputTable[[#This Row],[GroupByKey]]),(OutputTable[GroupByKey]=OutputTable[[#This Row],[GroupByKey]])*OutputTable[RecordedValue]))</f>
        <v>6014</v>
      </c>
    </row>
    <row r="7" spans="1:16" x14ac:dyDescent="0.3">
      <c r="A7" t="s">
        <v>66</v>
      </c>
      <c r="B7" t="s">
        <v>69</v>
      </c>
      <c r="C7">
        <v>2</v>
      </c>
      <c r="D7" t="s">
        <v>88</v>
      </c>
      <c r="E7" t="s">
        <v>89</v>
      </c>
      <c r="F7" t="s">
        <v>72</v>
      </c>
      <c r="G7">
        <v>5987</v>
      </c>
      <c r="H7">
        <v>0</v>
      </c>
      <c r="I7" t="str">
        <f>OutputTable[[#This Row],[ProjectName]]&amp;OutputTable[[#This Row],[Name]]&amp;OutputTable[[#This Row],[Type]]&amp;OutputTable[[#This Row],[Source]]</f>
        <v>Unnamed ProjectPart.NumberInNumber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5993.8</v>
      </c>
      <c r="L7" cm="1">
        <f t="array" ref="L7">IFERROR(_xlfn.STDEV.S(IF((OutputTable[GroupByKey]=OutputTable[[#This Row],[GroupByKey]]),(OutputTable[GroupByKey]=OutputTable[[#This Row],[GroupByKey]])*OutputTable[RecordedValue])),0)</f>
        <v>11.861703081766969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14.72824967401268</v>
      </c>
      <c r="O7" cm="1">
        <f t="array" ref="O7">MIN(IF((OutputTable[GroupByKey]=OutputTable[[#This Row],[GroupByKey]]),(OutputTable[GroupByKey]=OutputTable[[#This Row],[GroupByKey]])*OutputTable[RecordedValue]))</f>
        <v>5986</v>
      </c>
      <c r="P7" cm="1">
        <f t="array" ref="P7">MAX(IF((OutputTable[GroupByKey]=OutputTable[[#This Row],[GroupByKey]]),(OutputTable[GroupByKey]=OutputTable[[#This Row],[GroupByKey]])*OutputTable[RecordedValue]))</f>
        <v>6014</v>
      </c>
    </row>
    <row r="8" spans="1:16" x14ac:dyDescent="0.3">
      <c r="A8" t="s">
        <v>66</v>
      </c>
      <c r="B8" t="s">
        <v>69</v>
      </c>
      <c r="C8">
        <v>2</v>
      </c>
      <c r="D8" t="s">
        <v>90</v>
      </c>
      <c r="E8" t="s">
        <v>91</v>
      </c>
      <c r="F8" t="s">
        <v>72</v>
      </c>
      <c r="G8">
        <v>5987</v>
      </c>
      <c r="H8">
        <v>0</v>
      </c>
      <c r="I8" t="str">
        <f>OutputTable[[#This Row],[ProjectName]]&amp;OutputTable[[#This Row],[Name]]&amp;OutputTable[[#This Row],[Type]]&amp;OutputTable[[#This Row],[Source]]</f>
        <v>Unnamed ProjectPart.NumberOutNumber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5994</v>
      </c>
      <c r="L8" cm="1">
        <f t="array" ref="L8">IFERROR(_xlfn.STDEV.S(IF((OutputTable[GroupByKey]=OutputTable[[#This Row],[GroupByKey]]),(OutputTable[GroupByKey]=OutputTable[[#This Row],[GroupByKey]])*OutputTable[RecordedValue])),0)</f>
        <v>11.895377253370318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8" cm="1">
        <f t="array" ref="O8">MIN(IF((OutputTable[GroupByKey]=OutputTable[[#This Row],[GroupByKey]]),(OutputTable[GroupByKey]=OutputTable[[#This Row],[GroupByKey]])*OutputTable[RecordedValue]))</f>
        <v>5986</v>
      </c>
      <c r="P8" cm="1">
        <f t="array" ref="P8">MAX(IF((OutputTable[GroupByKey]=OutputTable[[#This Row],[GroupByKey]]),(OutputTable[GroupByKey]=OutputTable[[#This Row],[GroupByKey]])*OutputTable[RecordedValue]))</f>
        <v>6014</v>
      </c>
    </row>
    <row r="9" spans="1:16" x14ac:dyDescent="0.3">
      <c r="A9" t="s">
        <v>66</v>
      </c>
      <c r="B9" t="s">
        <v>69</v>
      </c>
      <c r="C9">
        <v>2</v>
      </c>
      <c r="D9" t="s">
        <v>92</v>
      </c>
      <c r="E9" t="s">
        <v>93</v>
      </c>
      <c r="F9" t="s">
        <v>85</v>
      </c>
      <c r="G9">
        <v>5987</v>
      </c>
      <c r="H9">
        <v>0</v>
      </c>
      <c r="I9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5994</v>
      </c>
      <c r="L9" cm="1">
        <f t="array" ref="L9">IFERROR(_xlfn.STDEV.S(IF((OutputTable[GroupByKey]=OutputTable[[#This Row],[GroupByKey]]),(OutputTable[GroupByKey]=OutputTable[[#This Row],[GroupByKey]])*OutputTable[RecordedValue])),0)</f>
        <v>11.895377253370318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9" cm="1">
        <f t="array" ref="O9">MIN(IF((OutputTable[GroupByKey]=OutputTable[[#This Row],[GroupByKey]]),(OutputTable[GroupByKey]=OutputTable[[#This Row],[GroupByKey]])*OutputTable[RecordedValue]))</f>
        <v>5986</v>
      </c>
      <c r="P9" cm="1">
        <f t="array" ref="P9">MAX(IF((OutputTable[GroupByKey]=OutputTable[[#This Row],[GroupByKey]]),(OutputTable[GroupByKey]=OutputTable[[#This Row],[GroupByKey]])*OutputTable[RecordedValue]))</f>
        <v>6014</v>
      </c>
    </row>
    <row r="10" spans="1:16" x14ac:dyDescent="0.3">
      <c r="A10" t="s">
        <v>66</v>
      </c>
      <c r="B10" t="s">
        <v>69</v>
      </c>
      <c r="C10">
        <v>2</v>
      </c>
      <c r="D10" t="s">
        <v>94</v>
      </c>
      <c r="E10" t="s">
        <v>95</v>
      </c>
      <c r="F10" t="s">
        <v>85</v>
      </c>
      <c r="G10">
        <v>0.700841942698464</v>
      </c>
      <c r="H10">
        <v>0</v>
      </c>
      <c r="I10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0.70108802618033716</v>
      </c>
      <c r="L10" cm="1">
        <f t="array" ref="L10">IFERROR(_xlfn.STDEV.S(IF((OutputTable[GroupByKey]=OutputTable[[#This Row],[GroupByKey]]),(OutputTable[GroupByKey]=OutputTable[[#This Row],[GroupByKey]])*OutputTable[RecordedValue])),0)</f>
        <v>1.6018493040346759E-3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1.9889586113676122E-3</v>
      </c>
      <c r="O10" cm="1">
        <f t="array" ref="O10">MIN(IF((OutputTable[GroupByKey]=OutputTable[[#This Row],[GroupByKey]]),(OutputTable[GroupByKey]=OutputTable[[#This Row],[GroupByKey]])*OutputTable[RecordedValue]))</f>
        <v>0.69845264979938304</v>
      </c>
      <c r="P10" cm="1">
        <f t="array" ref="P10">MAX(IF((OutputTable[GroupByKey]=OutputTable[[#This Row],[GroupByKey]]),(OutputTable[GroupByKey]=OutputTable[[#This Row],[GroupByKey]])*OutputTable[RecordedValue]))</f>
        <v>0.70256773538478401</v>
      </c>
    </row>
    <row r="11" spans="1:16" x14ac:dyDescent="0.3">
      <c r="A11" t="s">
        <v>66</v>
      </c>
      <c r="B11" t="s">
        <v>69</v>
      </c>
      <c r="C11">
        <v>2</v>
      </c>
      <c r="D11" t="s">
        <v>96</v>
      </c>
      <c r="E11" t="s">
        <v>91</v>
      </c>
      <c r="F11" t="s">
        <v>97</v>
      </c>
      <c r="G11">
        <v>5987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5994</v>
      </c>
      <c r="L11" cm="1">
        <f t="array" ref="L11">IFERROR(_xlfn.STDEV.S(IF((OutputTable[GroupByKey]=OutputTable[[#This Row],[GroupByKey]]),(OutputTable[GroupByKey]=OutputTable[[#This Row],[GroupByKey]])*OutputTable[RecordedValue])),0)</f>
        <v>11.895377253370318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11" cm="1">
        <f t="array" ref="O11">MIN(IF((OutputTable[GroupByKey]=OutputTable[[#This Row],[GroupByKey]]),(OutputTable[GroupByKey]=OutputTable[[#This Row],[GroupByKey]])*OutputTable[RecordedValue]))</f>
        <v>5986</v>
      </c>
      <c r="P11" cm="1">
        <f t="array" ref="P11">MAX(IF((OutputTable[GroupByKey]=OutputTable[[#This Row],[GroupByKey]]),(OutputTable[GroupByKey]=OutputTable[[#This Row],[GroupByKey]])*OutputTable[RecordedValue]))</f>
        <v>6014</v>
      </c>
    </row>
    <row r="12" spans="1:16" x14ac:dyDescent="0.3">
      <c r="A12" t="s">
        <v>66</v>
      </c>
      <c r="B12" t="s">
        <v>69</v>
      </c>
      <c r="C12">
        <v>3</v>
      </c>
      <c r="D12" t="s">
        <v>88</v>
      </c>
      <c r="E12" t="s">
        <v>89</v>
      </c>
      <c r="F12" t="s">
        <v>72</v>
      </c>
      <c r="G12">
        <v>6014</v>
      </c>
      <c r="H12">
        <v>0</v>
      </c>
      <c r="I12" t="str">
        <f>OutputTable[[#This Row],[ProjectName]]&amp;OutputTable[[#This Row],[Name]]&amp;OutputTable[[#This Row],[Type]]&amp;OutputTable[[#This Row],[Source]]</f>
        <v>Unnamed ProjectPart.NumberInNumber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5993.8</v>
      </c>
      <c r="L12" cm="1">
        <f t="array" ref="L12">IFERROR(_xlfn.STDEV.S(IF((OutputTable[GroupByKey]=OutputTable[[#This Row],[GroupByKey]]),(OutputTable[GroupByKey]=OutputTable[[#This Row],[GroupByKey]])*OutputTable[RecordedValue])),0)</f>
        <v>11.861703081766969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14.72824967401268</v>
      </c>
      <c r="O12" cm="1">
        <f t="array" ref="O12">MIN(IF((OutputTable[GroupByKey]=OutputTable[[#This Row],[GroupByKey]]),(OutputTable[GroupByKey]=OutputTable[[#This Row],[GroupByKey]])*OutputTable[RecordedValue]))</f>
        <v>5986</v>
      </c>
      <c r="P12" cm="1">
        <f t="array" ref="P12">MAX(IF((OutputTable[GroupByKey]=OutputTable[[#This Row],[GroupByKey]]),(OutputTable[GroupByKey]=OutputTable[[#This Row],[GroupByKey]])*OutputTable[RecordedValue]))</f>
        <v>6014</v>
      </c>
    </row>
    <row r="13" spans="1:16" x14ac:dyDescent="0.3">
      <c r="A13" t="s">
        <v>66</v>
      </c>
      <c r="B13" t="s">
        <v>69</v>
      </c>
      <c r="C13">
        <v>3</v>
      </c>
      <c r="D13" t="s">
        <v>90</v>
      </c>
      <c r="E13" t="s">
        <v>91</v>
      </c>
      <c r="F13" t="s">
        <v>72</v>
      </c>
      <c r="G13">
        <v>6014</v>
      </c>
      <c r="H13">
        <v>0</v>
      </c>
      <c r="I13" t="str">
        <f>OutputTable[[#This Row],[ProjectName]]&amp;OutputTable[[#This Row],[Name]]&amp;OutputTable[[#This Row],[Type]]&amp;OutputTable[[#This Row],[Source]]</f>
        <v>Unnamed ProjectPart.NumberOutNumber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5994</v>
      </c>
      <c r="L13" cm="1">
        <f t="array" ref="L13">IFERROR(_xlfn.STDEV.S(IF((OutputTable[GroupByKey]=OutputTable[[#This Row],[GroupByKey]]),(OutputTable[GroupByKey]=OutputTable[[#This Row],[GroupByKey]])*OutputTable[RecordedValue])),0)</f>
        <v>11.895377253370318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13" cm="1">
        <f t="array" ref="O13">MIN(IF((OutputTable[GroupByKey]=OutputTable[[#This Row],[GroupByKey]]),(OutputTable[GroupByKey]=OutputTable[[#This Row],[GroupByKey]])*OutputTable[RecordedValue]))</f>
        <v>5986</v>
      </c>
      <c r="P13" cm="1">
        <f t="array" ref="P13">MAX(IF((OutputTable[GroupByKey]=OutputTable[[#This Row],[GroupByKey]]),(OutputTable[GroupByKey]=OutputTable[[#This Row],[GroupByKey]])*OutputTable[RecordedValue]))</f>
        <v>6014</v>
      </c>
    </row>
    <row r="14" spans="1:16" x14ac:dyDescent="0.3">
      <c r="A14" t="s">
        <v>66</v>
      </c>
      <c r="B14" t="s">
        <v>69</v>
      </c>
      <c r="C14">
        <v>3</v>
      </c>
      <c r="D14" t="s">
        <v>92</v>
      </c>
      <c r="E14" t="s">
        <v>93</v>
      </c>
      <c r="F14" t="s">
        <v>85</v>
      </c>
      <c r="G14">
        <v>6014</v>
      </c>
      <c r="H14">
        <v>0</v>
      </c>
      <c r="I14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5994</v>
      </c>
      <c r="L14" cm="1">
        <f t="array" ref="L14">IFERROR(_xlfn.STDEV.S(IF((OutputTable[GroupByKey]=OutputTable[[#This Row],[GroupByKey]]),(OutputTable[GroupByKey]=OutputTable[[#This Row],[GroupByKey]])*OutputTable[RecordedValue])),0)</f>
        <v>11.895377253370318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14" cm="1">
        <f t="array" ref="O14">MIN(IF((OutputTable[GroupByKey]=OutputTable[[#This Row],[GroupByKey]]),(OutputTable[GroupByKey]=OutputTable[[#This Row],[GroupByKey]])*OutputTable[RecordedValue]))</f>
        <v>5986</v>
      </c>
      <c r="P14" cm="1">
        <f t="array" ref="P14">MAX(IF((OutputTable[GroupByKey]=OutputTable[[#This Row],[GroupByKey]]),(OutputTable[GroupByKey]=OutputTable[[#This Row],[GroupByKey]])*OutputTable[RecordedValue]))</f>
        <v>6014</v>
      </c>
    </row>
    <row r="15" spans="1:16" x14ac:dyDescent="0.3">
      <c r="A15" t="s">
        <v>66</v>
      </c>
      <c r="B15" t="s">
        <v>69</v>
      </c>
      <c r="C15">
        <v>3</v>
      </c>
      <c r="D15" t="s">
        <v>94</v>
      </c>
      <c r="E15" t="s">
        <v>95</v>
      </c>
      <c r="F15" t="s">
        <v>85</v>
      </c>
      <c r="G15">
        <v>0.70256773538478401</v>
      </c>
      <c r="H15">
        <v>0</v>
      </c>
      <c r="I15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0.70108802618033716</v>
      </c>
      <c r="L15" cm="1">
        <f t="array" ref="L15">IFERROR(_xlfn.STDEV.S(IF((OutputTable[GroupByKey]=OutputTable[[#This Row],[GroupByKey]]),(OutputTable[GroupByKey]=OutputTable[[#This Row],[GroupByKey]])*OutputTable[RecordedValue])),0)</f>
        <v>1.6018493040346759E-3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1.9889586113676122E-3</v>
      </c>
      <c r="O15" cm="1">
        <f t="array" ref="O15">MIN(IF((OutputTable[GroupByKey]=OutputTable[[#This Row],[GroupByKey]]),(OutputTable[GroupByKey]=OutputTable[[#This Row],[GroupByKey]])*OutputTable[RecordedValue]))</f>
        <v>0.69845264979938304</v>
      </c>
      <c r="P15" cm="1">
        <f t="array" ref="P15">MAX(IF((OutputTable[GroupByKey]=OutputTable[[#This Row],[GroupByKey]]),(OutputTable[GroupByKey]=OutputTable[[#This Row],[GroupByKey]])*OutputTable[RecordedValue]))</f>
        <v>0.70256773538478401</v>
      </c>
    </row>
    <row r="16" spans="1:16" x14ac:dyDescent="0.3">
      <c r="A16" t="s">
        <v>66</v>
      </c>
      <c r="B16" t="s">
        <v>69</v>
      </c>
      <c r="C16">
        <v>3</v>
      </c>
      <c r="D16" t="s">
        <v>96</v>
      </c>
      <c r="E16" t="s">
        <v>91</v>
      </c>
      <c r="F16" t="s">
        <v>97</v>
      </c>
      <c r="G16">
        <v>6014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5994</v>
      </c>
      <c r="L16" cm="1">
        <f t="array" ref="L16">IFERROR(_xlfn.STDEV.S(IF((OutputTable[GroupByKey]=OutputTable[[#This Row],[GroupByKey]]),(OutputTable[GroupByKey]=OutputTable[[#This Row],[GroupByKey]])*OutputTable[RecordedValue])),0)</f>
        <v>11.895377253370318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16" cm="1">
        <f t="array" ref="O16">MIN(IF((OutputTable[GroupByKey]=OutputTable[[#This Row],[GroupByKey]]),(OutputTable[GroupByKey]=OutputTable[[#This Row],[GroupByKey]])*OutputTable[RecordedValue]))</f>
        <v>5986</v>
      </c>
      <c r="P16" cm="1">
        <f t="array" ref="P16">MAX(IF((OutputTable[GroupByKey]=OutputTable[[#This Row],[GroupByKey]]),(OutputTable[GroupByKey]=OutputTable[[#This Row],[GroupByKey]])*OutputTable[RecordedValue]))</f>
        <v>6014</v>
      </c>
    </row>
    <row r="17" spans="1:16" x14ac:dyDescent="0.3">
      <c r="A17" t="s">
        <v>66</v>
      </c>
      <c r="B17" t="s">
        <v>69</v>
      </c>
      <c r="C17">
        <v>4</v>
      </c>
      <c r="D17" t="s">
        <v>88</v>
      </c>
      <c r="E17" t="s">
        <v>89</v>
      </c>
      <c r="F17" t="s">
        <v>72</v>
      </c>
      <c r="G17">
        <v>5986</v>
      </c>
      <c r="H17">
        <v>0</v>
      </c>
      <c r="I17" t="str">
        <f>OutputTable[[#This Row],[ProjectName]]&amp;OutputTable[[#This Row],[Name]]&amp;OutputTable[[#This Row],[Type]]&amp;OutputTable[[#This Row],[Source]]</f>
        <v>Unnamed ProjectPart.NumberInNumber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5</v>
      </c>
      <c r="K17" cm="1">
        <f t="array" ref="K17">IFERROR(AVERAGE(IF((OutputTable[GroupByKey]=OutputTable[[#This Row],[GroupByKey]]),(OutputTable[GroupByKey]=OutputTable[[#This Row],[GroupByKey]])*OutputTable[RecordedValue])),0)</f>
        <v>5993.8</v>
      </c>
      <c r="L17" cm="1">
        <f t="array" ref="L17">IFERROR(_xlfn.STDEV.S(IF((OutputTable[GroupByKey]=OutputTable[[#This Row],[GroupByKey]]),(OutputTable[GroupByKey]=OutputTable[[#This Row],[GroupByKey]])*OutputTable[RecordedValue])),0)</f>
        <v>11.861703081766969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14.72824967401268</v>
      </c>
      <c r="O17" cm="1">
        <f t="array" ref="O17">MIN(IF((OutputTable[GroupByKey]=OutputTable[[#This Row],[GroupByKey]]),(OutputTable[GroupByKey]=OutputTable[[#This Row],[GroupByKey]])*OutputTable[RecordedValue]))</f>
        <v>5986</v>
      </c>
      <c r="P17" cm="1">
        <f t="array" ref="P17">MAX(IF((OutputTable[GroupByKey]=OutputTable[[#This Row],[GroupByKey]]),(OutputTable[GroupByKey]=OutputTable[[#This Row],[GroupByKey]])*OutputTable[RecordedValue]))</f>
        <v>6014</v>
      </c>
    </row>
    <row r="18" spans="1:16" x14ac:dyDescent="0.3">
      <c r="A18" t="s">
        <v>66</v>
      </c>
      <c r="B18" t="s">
        <v>69</v>
      </c>
      <c r="C18">
        <v>4</v>
      </c>
      <c r="D18" t="s">
        <v>90</v>
      </c>
      <c r="E18" t="s">
        <v>91</v>
      </c>
      <c r="F18" t="s">
        <v>72</v>
      </c>
      <c r="G18">
        <v>5986</v>
      </c>
      <c r="H18">
        <v>0</v>
      </c>
      <c r="I18" t="str">
        <f>OutputTable[[#This Row],[ProjectName]]&amp;OutputTable[[#This Row],[Name]]&amp;OutputTable[[#This Row],[Type]]&amp;OutputTable[[#This Row],[Source]]</f>
        <v>Unnamed ProjectPart.NumberOutNumber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5</v>
      </c>
      <c r="K18" cm="1">
        <f t="array" ref="K18">IFERROR(AVERAGE(IF((OutputTable[GroupByKey]=OutputTable[[#This Row],[GroupByKey]]),(OutputTable[GroupByKey]=OutputTable[[#This Row],[GroupByKey]])*OutputTable[RecordedValue])),0)</f>
        <v>5994</v>
      </c>
      <c r="L18" cm="1">
        <f t="array" ref="L18">IFERROR(_xlfn.STDEV.S(IF((OutputTable[GroupByKey]=OutputTable[[#This Row],[GroupByKey]]),(OutputTable[GroupByKey]=OutputTable[[#This Row],[GroupByKey]])*OutputTable[RecordedValue])),0)</f>
        <v>11.895377253370318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18" cm="1">
        <f t="array" ref="O18">MIN(IF((OutputTable[GroupByKey]=OutputTable[[#This Row],[GroupByKey]]),(OutputTable[GroupByKey]=OutputTable[[#This Row],[GroupByKey]])*OutputTable[RecordedValue]))</f>
        <v>5986</v>
      </c>
      <c r="P18" cm="1">
        <f t="array" ref="P18">MAX(IF((OutputTable[GroupByKey]=OutputTable[[#This Row],[GroupByKey]]),(OutputTable[GroupByKey]=OutputTable[[#This Row],[GroupByKey]])*OutputTable[RecordedValue]))</f>
        <v>6014</v>
      </c>
    </row>
    <row r="19" spans="1:16" x14ac:dyDescent="0.3">
      <c r="A19" t="s">
        <v>66</v>
      </c>
      <c r="B19" t="s">
        <v>69</v>
      </c>
      <c r="C19">
        <v>4</v>
      </c>
      <c r="D19" t="s">
        <v>92</v>
      </c>
      <c r="E19" t="s">
        <v>93</v>
      </c>
      <c r="F19" t="s">
        <v>85</v>
      </c>
      <c r="G19">
        <v>5986</v>
      </c>
      <c r="H19">
        <v>0</v>
      </c>
      <c r="I19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5</v>
      </c>
      <c r="K19" cm="1">
        <f t="array" ref="K19">IFERROR(AVERAGE(IF((OutputTable[GroupByKey]=OutputTable[[#This Row],[GroupByKey]]),(OutputTable[GroupByKey]=OutputTable[[#This Row],[GroupByKey]])*OutputTable[RecordedValue])),0)</f>
        <v>5994</v>
      </c>
      <c r="L19" cm="1">
        <f t="array" ref="L19">IFERROR(_xlfn.STDEV.S(IF((OutputTable[GroupByKey]=OutputTable[[#This Row],[GroupByKey]]),(OutputTable[GroupByKey]=OutputTable[[#This Row],[GroupByKey]])*OutputTable[RecordedValue])),0)</f>
        <v>11.895377253370318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19" cm="1">
        <f t="array" ref="O19">MIN(IF((OutputTable[GroupByKey]=OutputTable[[#This Row],[GroupByKey]]),(OutputTable[GroupByKey]=OutputTable[[#This Row],[GroupByKey]])*OutputTable[RecordedValue]))</f>
        <v>5986</v>
      </c>
      <c r="P19" cm="1">
        <f t="array" ref="P19">MAX(IF((OutputTable[GroupByKey]=OutputTable[[#This Row],[GroupByKey]]),(OutputTable[GroupByKey]=OutputTable[[#This Row],[GroupByKey]])*OutputTable[RecordedValue]))</f>
        <v>6014</v>
      </c>
    </row>
    <row r="20" spans="1:16" x14ac:dyDescent="0.3">
      <c r="A20" t="s">
        <v>66</v>
      </c>
      <c r="B20" t="s">
        <v>69</v>
      </c>
      <c r="C20">
        <v>4</v>
      </c>
      <c r="D20" t="s">
        <v>94</v>
      </c>
      <c r="E20" t="s">
        <v>95</v>
      </c>
      <c r="F20" t="s">
        <v>85</v>
      </c>
      <c r="G20">
        <v>0.70199617818229099</v>
      </c>
      <c r="H20">
        <v>0</v>
      </c>
      <c r="I20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5</v>
      </c>
      <c r="K20" cm="1">
        <f t="array" ref="K20">IFERROR(AVERAGE(IF((OutputTable[GroupByKey]=OutputTable[[#This Row],[GroupByKey]]),(OutputTable[GroupByKey]=OutputTable[[#This Row],[GroupByKey]])*OutputTable[RecordedValue])),0)</f>
        <v>0.70108802618033716</v>
      </c>
      <c r="L20" cm="1">
        <f t="array" ref="L20">IFERROR(_xlfn.STDEV.S(IF((OutputTable[GroupByKey]=OutputTable[[#This Row],[GroupByKey]]),(OutputTable[GroupByKey]=OutputTable[[#This Row],[GroupByKey]])*OutputTable[RecordedValue])),0)</f>
        <v>1.6018493040346759E-3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1.9889586113676122E-3</v>
      </c>
      <c r="O20" cm="1">
        <f t="array" ref="O20">MIN(IF((OutputTable[GroupByKey]=OutputTable[[#This Row],[GroupByKey]]),(OutputTable[GroupByKey]=OutputTable[[#This Row],[GroupByKey]])*OutputTable[RecordedValue]))</f>
        <v>0.69845264979938304</v>
      </c>
      <c r="P20" cm="1">
        <f t="array" ref="P20">MAX(IF((OutputTable[GroupByKey]=OutputTable[[#This Row],[GroupByKey]]),(OutputTable[GroupByKey]=OutputTable[[#This Row],[GroupByKey]])*OutputTable[RecordedValue]))</f>
        <v>0.70256773538478401</v>
      </c>
    </row>
    <row r="21" spans="1:16" x14ac:dyDescent="0.3">
      <c r="A21" t="s">
        <v>66</v>
      </c>
      <c r="B21" t="s">
        <v>69</v>
      </c>
      <c r="C21">
        <v>4</v>
      </c>
      <c r="D21" t="s">
        <v>96</v>
      </c>
      <c r="E21" t="s">
        <v>91</v>
      </c>
      <c r="F21" t="s">
        <v>97</v>
      </c>
      <c r="G21">
        <v>5986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5</v>
      </c>
      <c r="K21" cm="1">
        <f t="array" ref="K21">IFERROR(AVERAGE(IF((OutputTable[GroupByKey]=OutputTable[[#This Row],[GroupByKey]]),(OutputTable[GroupByKey]=OutputTable[[#This Row],[GroupByKey]])*OutputTable[RecordedValue])),0)</f>
        <v>5994</v>
      </c>
      <c r="L21" cm="1">
        <f t="array" ref="L21">IFERROR(_xlfn.STDEV.S(IF((OutputTable[GroupByKey]=OutputTable[[#This Row],[GroupByKey]]),(OutputTable[GroupByKey]=OutputTable[[#This Row],[GroupByKey]])*OutputTable[RecordedValue])),0)</f>
        <v>11.895377253370318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21" cm="1">
        <f t="array" ref="O21">MIN(IF((OutputTable[GroupByKey]=OutputTable[[#This Row],[GroupByKey]]),(OutputTable[GroupByKey]=OutputTable[[#This Row],[GroupByKey]])*OutputTable[RecordedValue]))</f>
        <v>5986</v>
      </c>
      <c r="P21" cm="1">
        <f t="array" ref="P21">MAX(IF((OutputTable[GroupByKey]=OutputTable[[#This Row],[GroupByKey]]),(OutputTable[GroupByKey]=OutputTable[[#This Row],[GroupByKey]])*OutputTable[RecordedValue]))</f>
        <v>6014</v>
      </c>
    </row>
    <row r="22" spans="1:16" x14ac:dyDescent="0.3">
      <c r="A22" t="s">
        <v>66</v>
      </c>
      <c r="B22" t="s">
        <v>69</v>
      </c>
      <c r="C22">
        <v>5</v>
      </c>
      <c r="D22" t="s">
        <v>88</v>
      </c>
      <c r="E22" t="s">
        <v>89</v>
      </c>
      <c r="F22" t="s">
        <v>72</v>
      </c>
      <c r="G22">
        <v>5987</v>
      </c>
      <c r="H22">
        <v>0</v>
      </c>
      <c r="I22" t="str">
        <f>OutputTable[[#This Row],[ProjectName]]&amp;OutputTable[[#This Row],[Name]]&amp;OutputTable[[#This Row],[Type]]&amp;OutputTable[[#This Row],[Source]]</f>
        <v>Unnamed ProjectPart.NumberInNumber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5</v>
      </c>
      <c r="K22" cm="1">
        <f t="array" ref="K22">IFERROR(AVERAGE(IF((OutputTable[GroupByKey]=OutputTable[[#This Row],[GroupByKey]]),(OutputTable[GroupByKey]=OutputTable[[#This Row],[GroupByKey]])*OutputTable[RecordedValue])),0)</f>
        <v>5993.8</v>
      </c>
      <c r="L22" cm="1">
        <f t="array" ref="L22">IFERROR(_xlfn.STDEV.S(IF((OutputTable[GroupByKey]=OutputTable[[#This Row],[GroupByKey]]),(OutputTable[GroupByKey]=OutputTable[[#This Row],[GroupByKey]])*OutputTable[RecordedValue])),0)</f>
        <v>11.861703081766969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14.72824967401268</v>
      </c>
      <c r="O22" cm="1">
        <f t="array" ref="O22">MIN(IF((OutputTable[GroupByKey]=OutputTable[[#This Row],[GroupByKey]]),(OutputTable[GroupByKey]=OutputTable[[#This Row],[GroupByKey]])*OutputTable[RecordedValue]))</f>
        <v>5986</v>
      </c>
      <c r="P22" cm="1">
        <f t="array" ref="P22">MAX(IF((OutputTable[GroupByKey]=OutputTable[[#This Row],[GroupByKey]]),(OutputTable[GroupByKey]=OutputTable[[#This Row],[GroupByKey]])*OutputTable[RecordedValue]))</f>
        <v>6014</v>
      </c>
    </row>
    <row r="23" spans="1:16" x14ac:dyDescent="0.3">
      <c r="A23" t="s">
        <v>66</v>
      </c>
      <c r="B23" t="s">
        <v>69</v>
      </c>
      <c r="C23">
        <v>5</v>
      </c>
      <c r="D23" t="s">
        <v>90</v>
      </c>
      <c r="E23" t="s">
        <v>91</v>
      </c>
      <c r="F23" t="s">
        <v>72</v>
      </c>
      <c r="G23">
        <v>5987</v>
      </c>
      <c r="H23">
        <v>0</v>
      </c>
      <c r="I23" t="str">
        <f>OutputTable[[#This Row],[ProjectName]]&amp;OutputTable[[#This Row],[Name]]&amp;OutputTable[[#This Row],[Type]]&amp;OutputTable[[#This Row],[Source]]</f>
        <v>Unnamed ProjectPart.NumberOutNumber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5</v>
      </c>
      <c r="K23" cm="1">
        <f t="array" ref="K23">IFERROR(AVERAGE(IF((OutputTable[GroupByKey]=OutputTable[[#This Row],[GroupByKey]]),(OutputTable[GroupByKey]=OutputTable[[#This Row],[GroupByKey]])*OutputTable[RecordedValue])),0)</f>
        <v>5994</v>
      </c>
      <c r="L23" cm="1">
        <f t="array" ref="L23">IFERROR(_xlfn.STDEV.S(IF((OutputTable[GroupByKey]=OutputTable[[#This Row],[GroupByKey]]),(OutputTable[GroupByKey]=OutputTable[[#This Row],[GroupByKey]])*OutputTable[RecordedValue])),0)</f>
        <v>11.895377253370318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23" cm="1">
        <f t="array" ref="O23">MIN(IF((OutputTable[GroupByKey]=OutputTable[[#This Row],[GroupByKey]]),(OutputTable[GroupByKey]=OutputTable[[#This Row],[GroupByKey]])*OutputTable[RecordedValue]))</f>
        <v>5986</v>
      </c>
      <c r="P23" cm="1">
        <f t="array" ref="P23">MAX(IF((OutputTable[GroupByKey]=OutputTable[[#This Row],[GroupByKey]]),(OutputTable[GroupByKey]=OutputTable[[#This Row],[GroupByKey]])*OutputTable[RecordedValue]))</f>
        <v>6014</v>
      </c>
    </row>
    <row r="24" spans="1:16" x14ac:dyDescent="0.3">
      <c r="A24" t="s">
        <v>66</v>
      </c>
      <c r="B24" t="s">
        <v>69</v>
      </c>
      <c r="C24">
        <v>5</v>
      </c>
      <c r="D24" t="s">
        <v>92</v>
      </c>
      <c r="E24" t="s">
        <v>93</v>
      </c>
      <c r="F24" t="s">
        <v>85</v>
      </c>
      <c r="G24">
        <v>5987</v>
      </c>
      <c r="H24">
        <v>0</v>
      </c>
      <c r="I24" t="str">
        <f>OutputTable[[#This Row],[ProjectName]]&amp;OutputTable[[#This Row],[Name]]&amp;OutputTable[[#This Row],[Type]]&amp;OutputTable[[#This Row],[Source]]</f>
        <v>Unnamed ProjectResource 1.NumberSeizedTotal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5</v>
      </c>
      <c r="K24" cm="1">
        <f t="array" ref="K24">IFERROR(AVERAGE(IF((OutputTable[GroupByKey]=OutputTable[[#This Row],[GroupByKey]]),(OutputTable[GroupByKey]=OutputTable[[#This Row],[GroupByKey]])*OutputTable[RecordedValue])),0)</f>
        <v>5994</v>
      </c>
      <c r="L24" cm="1">
        <f t="array" ref="L24">IFERROR(_xlfn.STDEV.S(IF((OutputTable[GroupByKey]=OutputTable[[#This Row],[GroupByKey]]),(OutputTable[GroupByKey]=OutputTable[[#This Row],[GroupByKey]])*OutputTable[RecordedValue])),0)</f>
        <v>11.895377253370318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24" cm="1">
        <f t="array" ref="O24">MIN(IF((OutputTable[GroupByKey]=OutputTable[[#This Row],[GroupByKey]]),(OutputTable[GroupByKey]=OutputTable[[#This Row],[GroupByKey]])*OutputTable[RecordedValue]))</f>
        <v>5986</v>
      </c>
      <c r="P24" cm="1">
        <f t="array" ref="P24">MAX(IF((OutputTable[GroupByKey]=OutputTable[[#This Row],[GroupByKey]]),(OutputTable[GroupByKey]=OutputTable[[#This Row],[GroupByKey]])*OutputTable[RecordedValue]))</f>
        <v>6014</v>
      </c>
    </row>
    <row r="25" spans="1:16" x14ac:dyDescent="0.3">
      <c r="A25" t="s">
        <v>66</v>
      </c>
      <c r="B25" t="s">
        <v>69</v>
      </c>
      <c r="C25">
        <v>5</v>
      </c>
      <c r="D25" t="s">
        <v>94</v>
      </c>
      <c r="E25" t="s">
        <v>95</v>
      </c>
      <c r="F25" t="s">
        <v>85</v>
      </c>
      <c r="G25">
        <v>0.69845264979938304</v>
      </c>
      <c r="H25">
        <v>0</v>
      </c>
      <c r="I25" t="str">
        <f>OutputTable[[#This Row],[ProjectName]]&amp;OutputTable[[#This Row],[Name]]&amp;OutputTable[[#This Row],[Type]]&amp;OutputTable[[#This Row],[Source]]</f>
        <v>Unnamed ProjectResource 1.ScheduledUtilizationScheduled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5</v>
      </c>
      <c r="K25" cm="1">
        <f t="array" ref="K25">IFERROR(AVERAGE(IF((OutputTable[GroupByKey]=OutputTable[[#This Row],[GroupByKey]]),(OutputTable[GroupByKey]=OutputTable[[#This Row],[GroupByKey]])*OutputTable[RecordedValue])),0)</f>
        <v>0.70108802618033716</v>
      </c>
      <c r="L25" cm="1">
        <f t="array" ref="L25">IFERROR(_xlfn.STDEV.S(IF((OutputTable[GroupByKey]=OutputTable[[#This Row],[GroupByKey]]),(OutputTable[GroupByKey]=OutputTable[[#This Row],[GroupByKey]])*OutputTable[RecordedValue])),0)</f>
        <v>1.6018493040346759E-3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1.9889586113676122E-3</v>
      </c>
      <c r="O25" cm="1">
        <f t="array" ref="O25">MIN(IF((OutputTable[GroupByKey]=OutputTable[[#This Row],[GroupByKey]]),(OutputTable[GroupByKey]=OutputTable[[#This Row],[GroupByKey]])*OutputTable[RecordedValue]))</f>
        <v>0.69845264979938304</v>
      </c>
      <c r="P25" cm="1">
        <f t="array" ref="P25">MAX(IF((OutputTable[GroupByKey]=OutputTable[[#This Row],[GroupByKey]]),(OutputTable[GroupByKey]=OutputTable[[#This Row],[GroupByKey]])*OutputTable[RecordedValue]))</f>
        <v>0.70256773538478401</v>
      </c>
    </row>
    <row r="26" spans="1:16" x14ac:dyDescent="0.3">
      <c r="A26" t="s">
        <v>66</v>
      </c>
      <c r="B26" t="s">
        <v>69</v>
      </c>
      <c r="C26">
        <v>5</v>
      </c>
      <c r="D26" t="s">
        <v>96</v>
      </c>
      <c r="E26" t="s">
        <v>91</v>
      </c>
      <c r="F26" t="s">
        <v>97</v>
      </c>
      <c r="G26">
        <v>5987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5</v>
      </c>
      <c r="K26" cm="1">
        <f t="array" ref="K26">IFERROR(AVERAGE(IF((OutputTable[GroupByKey]=OutputTable[[#This Row],[GroupByKey]]),(OutputTable[GroupByKey]=OutputTable[[#This Row],[GroupByKey]])*OutputTable[RecordedValue])),0)</f>
        <v>5994</v>
      </c>
      <c r="L26" cm="1">
        <f t="array" ref="L26">IFERROR(_xlfn.STDEV.S(IF((OutputTable[GroupByKey]=OutputTable[[#This Row],[GroupByKey]]),(OutputTable[GroupByKey]=OutputTable[[#This Row],[GroupByKey]])*OutputTable[RecordedValue])),0)</f>
        <v>11.895377253370318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14.770061680561895</v>
      </c>
      <c r="O26" cm="1">
        <f t="array" ref="O26">MIN(IF((OutputTable[GroupByKey]=OutputTable[[#This Row],[GroupByKey]]),(OutputTable[GroupByKey]=OutputTable[[#This Row],[GroupByKey]])*OutputTable[RecordedValue]))</f>
        <v>5986</v>
      </c>
      <c r="P26" cm="1">
        <f t="array" ref="P26">MAX(IF((OutputTable[GroupByKey]=OutputTable[[#This Row],[GroupByKey]]),(OutputTable[GroupByKey]=OutputTable[[#This Row],[GroupByKey]])*OutputTable[RecordedValue]))</f>
        <v>6014</v>
      </c>
    </row>
    <row r="27" spans="1:16" x14ac:dyDescent="0.3"/>
    <row r="28" spans="1:16" x14ac:dyDescent="0.3"/>
    <row r="29" spans="1:16" x14ac:dyDescent="0.3"/>
    <row r="30" spans="1:16" x14ac:dyDescent="0.3"/>
    <row r="31" spans="1:16" x14ac:dyDescent="0.3"/>
  </sheetData>
  <phoneticPr fontId="2" type="noConversion"/>
  <conditionalFormatting sqref="I2:P26">
    <cfRule type="expression" dxfId="3" priority="2">
      <formula>MOD(ROW(),2)=0</formula>
    </cfRule>
  </conditionalFormatting>
  <conditionalFormatting sqref="N2:N2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76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5.4140625" bestFit="1" customWidth="1"/>
    <col min="12" max="12" width="13.5" bestFit="1" customWidth="1"/>
    <col min="13" max="13" width="28.9140625" bestFit="1" customWidth="1"/>
    <col min="14" max="14" width="29.9140625" bestFit="1" customWidth="1"/>
    <col min="15" max="15" width="16.4140625" bestFit="1" customWidth="1"/>
    <col min="16" max="16" width="27.9140625" bestFit="1" customWidth="1"/>
    <col min="17" max="17" width="28.91406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9140625" bestFit="1" customWidth="1"/>
    <col min="22" max="22" width="31.9140625" bestFit="1" customWidth="1"/>
    <col min="23" max="23" width="32.0820312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2" spans="1:17" x14ac:dyDescent="0.3"/>
    <row r="3" spans="1:17" x14ac:dyDescent="0.3"/>
    <row r="4" spans="1:17" x14ac:dyDescent="0.3"/>
    <row r="5" spans="1:17" x14ac:dyDescent="0.3"/>
    <row r="6" spans="1:17" x14ac:dyDescent="0.3"/>
    <row r="7" spans="1:17" x14ac:dyDescent="0.3"/>
    <row r="8" spans="1:17" x14ac:dyDescent="0.3"/>
    <row r="9" spans="1:17" x14ac:dyDescent="0.3"/>
    <row r="10" spans="1:17" x14ac:dyDescent="0.3"/>
    <row r="11" spans="1:17" x14ac:dyDescent="0.3"/>
    <row r="12" spans="1:17" x14ac:dyDescent="0.3"/>
    <row r="13" spans="1:17" x14ac:dyDescent="0.3"/>
    <row r="14" spans="1:17" x14ac:dyDescent="0.3"/>
    <row r="15" spans="1:17" x14ac:dyDescent="0.3"/>
    <row r="16" spans="1:17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32" spans="2: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Shiwei Pan</cp:lastModifiedBy>
  <cp:lastPrinted>2022-03-22T10:33:10Z</cp:lastPrinted>
  <dcterms:created xsi:type="dcterms:W3CDTF">2020-06-29T21:30:31Z</dcterms:created>
  <dcterms:modified xsi:type="dcterms:W3CDTF">2025-04-28T08:07:27Z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