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675224E0-35E3-4428-9E74-713BE6E3406D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L2" i="20" s="1" a="1"/>
  <c r="L2" i="20" s="1"/>
  <c r="I3" i="20"/>
  <c r="I4" i="20"/>
  <c r="I5" i="20"/>
  <c r="I6" i="20"/>
  <c r="I7" i="20"/>
  <c r="I8" i="20"/>
  <c r="I9" i="20"/>
  <c r="I10" i="20"/>
  <c r="I11" i="20"/>
  <c r="I12" i="20"/>
  <c r="L10" i="20" s="1" a="1"/>
  <c r="L10" i="20" s="1"/>
  <c r="I13" i="20"/>
  <c r="I14" i="20"/>
  <c r="I15" i="20"/>
  <c r="P10" i="20" s="1" a="1"/>
  <c r="P10" i="20" s="1"/>
  <c r="I16" i="20"/>
  <c r="I17" i="20"/>
  <c r="I18" i="20"/>
  <c r="I19" i="20"/>
  <c r="I20" i="20"/>
  <c r="I21" i="20"/>
  <c r="I22" i="20"/>
  <c r="I23" i="20"/>
  <c r="I24" i="20"/>
  <c r="I25" i="20"/>
  <c r="I26" i="20"/>
  <c r="L26" i="20" s="1" a="1"/>
  <c r="L26" i="20" s="1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K19" i="20" a="1"/>
  <c r="K19" i="20" s="1"/>
  <c r="L18" i="20" a="1"/>
  <c r="L1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/>
  <c r="M25" i="20" a="1"/>
  <c r="M25" i="20" s="1"/>
  <c r="M26" i="20" a="1"/>
  <c r="M26" i="20" s="1"/>
  <c r="M2" i="18"/>
  <c r="M3" i="18"/>
  <c r="M4" i="18"/>
  <c r="P2" i="18" s="1" a="1"/>
  <c r="P2" i="18" s="1"/>
  <c r="M5" i="18"/>
  <c r="M6" i="18"/>
  <c r="M7" i="18"/>
  <c r="M8" i="18"/>
  <c r="M9" i="18"/>
  <c r="M10" i="18"/>
  <c r="M11" i="18"/>
  <c r="M12" i="18"/>
  <c r="M13" i="18"/>
  <c r="M14" i="18"/>
  <c r="P10" i="18" s="1" a="1"/>
  <c r="P10" i="18" s="1"/>
  <c r="M15" i="18"/>
  <c r="T2" i="18" s="1" a="1"/>
  <c r="T2" i="18" s="1"/>
  <c r="M16" i="18"/>
  <c r="M17" i="18"/>
  <c r="M18" i="18"/>
  <c r="M19" i="18"/>
  <c r="M20" i="18"/>
  <c r="M21" i="18"/>
  <c r="M22" i="18"/>
  <c r="M23" i="18"/>
  <c r="M24" i="18"/>
  <c r="M25" i="18"/>
  <c r="M26" i="18"/>
  <c r="N2" i="18" a="1"/>
  <c r="N2" i="18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P26" i="18" a="1"/>
  <c r="P2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/>
  <c r="Q25" i="18" a="1"/>
  <c r="Q25" i="18" s="1"/>
  <c r="Q26" i="18" a="1"/>
  <c r="Q26" i="18" s="1"/>
  <c r="L2" i="17"/>
  <c r="L3" i="17"/>
  <c r="L4" i="17"/>
  <c r="L5" i="17"/>
  <c r="L6" i="17"/>
  <c r="L7" i="17"/>
  <c r="L32" i="17"/>
  <c r="L8" i="17"/>
  <c r="L9" i="17"/>
  <c r="L10" i="17"/>
  <c r="L11" i="17"/>
  <c r="L12" i="17"/>
  <c r="L13" i="17"/>
  <c r="L33" i="17"/>
  <c r="X22" i="17" s="1" a="1"/>
  <c r="X22" i="17" s="1"/>
  <c r="Y22" i="17" s="1"/>
  <c r="L14" i="17"/>
  <c r="L15" i="17"/>
  <c r="L16" i="17"/>
  <c r="L17" i="17"/>
  <c r="L18" i="17"/>
  <c r="L19" i="17"/>
  <c r="L34" i="17"/>
  <c r="L20" i="17"/>
  <c r="L21" i="17"/>
  <c r="L22" i="17"/>
  <c r="L23" i="17"/>
  <c r="L24" i="17"/>
  <c r="L25" i="17"/>
  <c r="L35" i="17"/>
  <c r="L26" i="17"/>
  <c r="L27" i="17"/>
  <c r="L28" i="17"/>
  <c r="L29" i="17"/>
  <c r="L30" i="17"/>
  <c r="L31" i="17"/>
  <c r="L36" i="17"/>
  <c r="M2" i="17" a="1"/>
  <c r="M2" i="17" s="1"/>
  <c r="M3" i="17" a="1"/>
  <c r="M3" i="17" s="1"/>
  <c r="M4" i="17" a="1"/>
  <c r="M4" i="17" s="1"/>
  <c r="M5" i="17" a="1"/>
  <c r="M5" i="17"/>
  <c r="M6" i="17" a="1"/>
  <c r="M6" i="17"/>
  <c r="M7" i="17" a="1"/>
  <c r="M7" i="17" s="1"/>
  <c r="M32" i="17" a="1"/>
  <c r="M3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3" i="17" a="1"/>
  <c r="M3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/>
  <c r="M34" i="17" a="1"/>
  <c r="M3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35" i="17" a="1"/>
  <c r="M3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6" i="17" a="1"/>
  <c r="M36" i="17"/>
  <c r="P2" i="17" a="1"/>
  <c r="P2" i="17" s="1"/>
  <c r="P3" i="17" a="1"/>
  <c r="P3" i="17"/>
  <c r="P4" i="17" a="1"/>
  <c r="P4" i="17"/>
  <c r="P5" i="17" a="1"/>
  <c r="P5" i="17" s="1"/>
  <c r="P6" i="17" a="1"/>
  <c r="P6" i="17" s="1"/>
  <c r="P7" i="17" a="1"/>
  <c r="P7" i="17" s="1"/>
  <c r="P32" i="17" a="1"/>
  <c r="P32" i="17" s="1"/>
  <c r="P8" i="17" a="1"/>
  <c r="P8" i="17" s="1"/>
  <c r="P9" i="17" a="1"/>
  <c r="P9" i="17" s="1"/>
  <c r="P10" i="17" a="1"/>
  <c r="P10" i="17"/>
  <c r="P11" i="17" a="1"/>
  <c r="P11" i="17" s="1"/>
  <c r="P12" i="17" a="1"/>
  <c r="P12" i="17" s="1"/>
  <c r="P13" i="17" a="1"/>
  <c r="P13" i="17" s="1"/>
  <c r="P33" i="17" a="1"/>
  <c r="P3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/>
  <c r="P19" i="17" a="1"/>
  <c r="P19" i="17" s="1"/>
  <c r="P34" i="17" a="1"/>
  <c r="P3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/>
  <c r="P35" i="17" a="1"/>
  <c r="P3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6" i="17" a="1"/>
  <c r="P36" i="17" s="1"/>
  <c r="G2" i="16"/>
  <c r="N18" i="20" l="1"/>
  <c r="O13" i="20" a="1"/>
  <c r="O13" i="20" s="1"/>
  <c r="O9" i="20" a="1"/>
  <c r="O9" i="20" s="1"/>
  <c r="O5" i="20" a="1"/>
  <c r="O5" i="20" s="1"/>
  <c r="K11" i="20" a="1"/>
  <c r="K11" i="20" s="1"/>
  <c r="K3" i="20" a="1"/>
  <c r="K3" i="20" s="1"/>
  <c r="K5" i="20" a="1"/>
  <c r="K5" i="20" s="1"/>
  <c r="N2" i="20"/>
  <c r="N10" i="20"/>
  <c r="N26" i="20"/>
  <c r="L19" i="20" a="1"/>
  <c r="L19" i="20" s="1"/>
  <c r="N19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K18" i="20" a="1"/>
  <c r="K18" i="20" s="1"/>
  <c r="K10" i="20" a="1"/>
  <c r="K10" i="20" s="1"/>
  <c r="K2" i="20" a="1"/>
  <c r="K2" i="20" s="1"/>
  <c r="P26" i="20" a="1"/>
  <c r="P26" i="20" s="1"/>
  <c r="P25" i="20" a="1"/>
  <c r="P25" i="20" s="1"/>
  <c r="O26" i="20" a="1"/>
  <c r="O26" i="20" s="1"/>
  <c r="O18" i="20" a="1"/>
  <c r="O18" i="20" s="1"/>
  <c r="O10" i="20" a="1"/>
  <c r="O10" i="20" s="1"/>
  <c r="O2" i="20" a="1"/>
  <c r="O2" i="20" s="1"/>
  <c r="L25" i="20" a="1"/>
  <c r="L25" i="20" s="1"/>
  <c r="N25" i="20" s="1"/>
  <c r="L8" i="20" a="1"/>
  <c r="L8" i="20" s="1"/>
  <c r="N8" i="20" s="1"/>
  <c r="K25" i="20" a="1"/>
  <c r="K25" i="20" s="1"/>
  <c r="K17" i="20" a="1"/>
  <c r="K17" i="20" s="1"/>
  <c r="K9" i="20" a="1"/>
  <c r="K9" i="20" s="1"/>
  <c r="K26" i="20" a="1"/>
  <c r="K26" i="20" s="1"/>
  <c r="P24" i="20" a="1"/>
  <c r="P24" i="20" s="1"/>
  <c r="O25" i="20" a="1"/>
  <c r="O25" i="20" s="1"/>
  <c r="O17" i="20" a="1"/>
  <c r="O17" i="20" s="1"/>
  <c r="O3" i="20" a="1"/>
  <c r="O3" i="20" s="1"/>
  <c r="P9" i="20" a="1"/>
  <c r="P9" i="20" s="1"/>
  <c r="L16" i="20" a="1"/>
  <c r="L16" i="20" s="1"/>
  <c r="N16" i="20" s="1"/>
  <c r="P16" i="20" a="1"/>
  <c r="P16" i="20" s="1"/>
  <c r="P8" i="20" a="1"/>
  <c r="P8" i="20" s="1"/>
  <c r="L23" i="20" a="1"/>
  <c r="L23" i="20" s="1"/>
  <c r="N23" i="20" s="1"/>
  <c r="L15" i="20" a="1"/>
  <c r="L15" i="20" s="1"/>
  <c r="N15" i="20" s="1"/>
  <c r="L7" i="20" a="1"/>
  <c r="L7" i="20" s="1"/>
  <c r="N7" i="20" s="1"/>
  <c r="K24" i="20" a="1"/>
  <c r="K24" i="20" s="1"/>
  <c r="K16" i="20" a="1"/>
  <c r="K16" i="20" s="1"/>
  <c r="K8" i="20" a="1"/>
  <c r="K8" i="20" s="1"/>
  <c r="L9" i="20" a="1"/>
  <c r="L9" i="20" s="1"/>
  <c r="N9" i="20" s="1"/>
  <c r="P23" i="20" a="1"/>
  <c r="P23" i="20" s="1"/>
  <c r="P15" i="20" a="1"/>
  <c r="P15" i="20" s="1"/>
  <c r="P7" i="20" a="1"/>
  <c r="P7" i="20" s="1"/>
  <c r="O24" i="20" a="1"/>
  <c r="O24" i="20" s="1"/>
  <c r="O16" i="20" a="1"/>
  <c r="O16" i="20" s="1"/>
  <c r="O8" i="20" a="1"/>
  <c r="O8" i="20" s="1"/>
  <c r="P18" i="20" a="1"/>
  <c r="P18" i="20" s="1"/>
  <c r="P17" i="20" a="1"/>
  <c r="P17" i="20" s="1"/>
  <c r="L22" i="20" a="1"/>
  <c r="L22" i="20" s="1"/>
  <c r="N22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K7" i="20" a="1"/>
  <c r="K7" i="20" s="1"/>
  <c r="O19" i="20" a="1"/>
  <c r="O19" i="20" s="1"/>
  <c r="L24" i="20" a="1"/>
  <c r="L24" i="20" s="1"/>
  <c r="N24" i="20" s="1"/>
  <c r="P22" i="20" a="1"/>
  <c r="P22" i="20" s="1"/>
  <c r="P14" i="20" a="1"/>
  <c r="P14" i="20" s="1"/>
  <c r="P6" i="20" a="1"/>
  <c r="P6" i="20" s="1"/>
  <c r="O23" i="20" a="1"/>
  <c r="O23" i="20" s="1"/>
  <c r="O15" i="20" a="1"/>
  <c r="O15" i="20" s="1"/>
  <c r="O7" i="20" a="1"/>
  <c r="O7" i="20" s="1"/>
  <c r="O11" i="20" a="1"/>
  <c r="O11" i="20" s="1"/>
  <c r="L21" i="20" a="1"/>
  <c r="L21" i="20" s="1"/>
  <c r="N21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P2" i="20" a="1"/>
  <c r="P2" i="20" s="1"/>
  <c r="P21" i="20" a="1"/>
  <c r="P21" i="20" s="1"/>
  <c r="P13" i="20" a="1"/>
  <c r="P13" i="20" s="1"/>
  <c r="P5" i="20" a="1"/>
  <c r="P5" i="20" s="1"/>
  <c r="O22" i="20" a="1"/>
  <c r="O22" i="20" s="1"/>
  <c r="O14" i="20" a="1"/>
  <c r="O14" i="20" s="1"/>
  <c r="O6" i="20" a="1"/>
  <c r="O6" i="20" s="1"/>
  <c r="L20" i="20" a="1"/>
  <c r="L20" i="20" s="1"/>
  <c r="N20" i="20" s="1"/>
  <c r="L4" i="20" a="1"/>
  <c r="L4" i="20" s="1"/>
  <c r="N4" i="20" s="1"/>
  <c r="K21" i="20" a="1"/>
  <c r="K21" i="20" s="1"/>
  <c r="K13" i="20" a="1"/>
  <c r="K13" i="20" s="1"/>
  <c r="L17" i="20" a="1"/>
  <c r="L17" i="20" s="1"/>
  <c r="N17" i="20" s="1"/>
  <c r="L12" i="20" a="1"/>
  <c r="L12" i="20" s="1"/>
  <c r="N12" i="20" s="1"/>
  <c r="P20" i="20" a="1"/>
  <c r="P20" i="20" s="1"/>
  <c r="P12" i="20" a="1"/>
  <c r="P12" i="20" s="1"/>
  <c r="P4" i="20" a="1"/>
  <c r="P4" i="20" s="1"/>
  <c r="O21" i="20" a="1"/>
  <c r="O21" i="20" s="1"/>
  <c r="P18" i="18" a="1"/>
  <c r="P18" i="18" s="1"/>
  <c r="R2" i="18"/>
  <c r="U2" i="18" s="1"/>
  <c r="O19" i="18" a="1"/>
  <c r="O19" i="18" s="1"/>
  <c r="S5" i="18" a="1"/>
  <c r="S5" i="18" s="1"/>
  <c r="O3" i="18" a="1"/>
  <c r="O3" i="18" s="1"/>
  <c r="O11" i="18" a="1"/>
  <c r="O11" i="18" s="1"/>
  <c r="O6" i="18" a="1"/>
  <c r="O6" i="18" s="1"/>
  <c r="R10" i="18"/>
  <c r="U10" i="18" s="1"/>
  <c r="P25" i="18" a="1"/>
  <c r="P25" i="18" s="1"/>
  <c r="S6" i="18" a="1"/>
  <c r="S6" i="18" s="1"/>
  <c r="R12" i="18"/>
  <c r="U12" i="18" s="1"/>
  <c r="R25" i="18"/>
  <c r="U25" i="18" s="1"/>
  <c r="U26" i="18"/>
  <c r="R26" i="18"/>
  <c r="R18" i="18"/>
  <c r="U18" i="18" s="1"/>
  <c r="P19" i="18" a="1"/>
  <c r="P19" i="18" s="1"/>
  <c r="R19" i="18" s="1"/>
  <c r="U19" i="18" s="1"/>
  <c r="P11" i="18" a="1"/>
  <c r="P11" i="18" s="1"/>
  <c r="P3" i="18" a="1"/>
  <c r="P3" i="18" s="1"/>
  <c r="R3" i="18" s="1"/>
  <c r="U3" i="18" s="1"/>
  <c r="O20" i="18" a="1"/>
  <c r="O20" i="18" s="1"/>
  <c r="O12" i="18" a="1"/>
  <c r="O12" i="18" s="1"/>
  <c r="O4" i="18" a="1"/>
  <c r="O4" i="18" s="1"/>
  <c r="T19" i="18" a="1"/>
  <c r="T19" i="18" s="1"/>
  <c r="T11" i="18" a="1"/>
  <c r="T11" i="18" s="1"/>
  <c r="T3" i="18" a="1"/>
  <c r="T3" i="18" s="1"/>
  <c r="S20" i="18" a="1"/>
  <c r="S20" i="18" s="1"/>
  <c r="S12" i="18" a="1"/>
  <c r="S12" i="18" s="1"/>
  <c r="S4" i="18" a="1"/>
  <c r="S4" i="18" s="1"/>
  <c r="S19" i="18" a="1"/>
  <c r="S19" i="18" s="1"/>
  <c r="T9" i="18" a="1"/>
  <c r="T9" i="18" s="1"/>
  <c r="S26" i="18" a="1"/>
  <c r="S26" i="18" s="1"/>
  <c r="S18" i="18" a="1"/>
  <c r="S18" i="18" s="1"/>
  <c r="S10" i="18" a="1"/>
  <c r="S10" i="18" s="1"/>
  <c r="S2" i="18" a="1"/>
  <c r="S2" i="18" s="1"/>
  <c r="R11" i="18"/>
  <c r="U11" i="18" s="1"/>
  <c r="P17" i="18" a="1"/>
  <c r="P17" i="18" s="1"/>
  <c r="R17" i="18" s="1"/>
  <c r="U17" i="18" s="1"/>
  <c r="P16" i="18" a="1"/>
  <c r="P16" i="18" s="1"/>
  <c r="R16" i="18" s="1"/>
  <c r="U16" i="18" s="1"/>
  <c r="P8" i="18" a="1"/>
  <c r="P8" i="18" s="1"/>
  <c r="R8" i="18" s="1"/>
  <c r="U8" i="18" s="1"/>
  <c r="O25" i="18" a="1"/>
  <c r="O25" i="18" s="1"/>
  <c r="O17" i="18" a="1"/>
  <c r="O17" i="18" s="1"/>
  <c r="O9" i="18" a="1"/>
  <c r="O9" i="18" s="1"/>
  <c r="O26" i="18" a="1"/>
  <c r="O26" i="18" s="1"/>
  <c r="T16" i="18" a="1"/>
  <c r="T16" i="18" s="1"/>
  <c r="T8" i="18" a="1"/>
  <c r="T8" i="18" s="1"/>
  <c r="S25" i="18" a="1"/>
  <c r="S25" i="18" s="1"/>
  <c r="S17" i="18" a="1"/>
  <c r="S17" i="18" s="1"/>
  <c r="S9" i="18" a="1"/>
  <c r="S9" i="18" s="1"/>
  <c r="T26" i="18" a="1"/>
  <c r="T26" i="18" s="1"/>
  <c r="O18" i="18" a="1"/>
  <c r="O18" i="18" s="1"/>
  <c r="P23" i="18" a="1"/>
  <c r="P23" i="18" s="1"/>
  <c r="R23" i="18" s="1"/>
  <c r="U23" i="18" s="1"/>
  <c r="P15" i="18" a="1"/>
  <c r="P15" i="18" s="1"/>
  <c r="R15" i="18" s="1"/>
  <c r="U15" i="18" s="1"/>
  <c r="P7" i="18" a="1"/>
  <c r="P7" i="18" s="1"/>
  <c r="R7" i="18" s="1"/>
  <c r="U7" i="18" s="1"/>
  <c r="O24" i="18" a="1"/>
  <c r="O24" i="18" s="1"/>
  <c r="O16" i="18" a="1"/>
  <c r="O16" i="18" s="1"/>
  <c r="O8" i="18" a="1"/>
  <c r="O8" i="18" s="1"/>
  <c r="S3" i="18" a="1"/>
  <c r="S3" i="18" s="1"/>
  <c r="T17" i="18" a="1"/>
  <c r="T17" i="18" s="1"/>
  <c r="T7" i="18" a="1"/>
  <c r="T7" i="18" s="1"/>
  <c r="S24" i="18" a="1"/>
  <c r="S24" i="18" s="1"/>
  <c r="S16" i="18" a="1"/>
  <c r="S16" i="18" s="1"/>
  <c r="S8" i="18" a="1"/>
  <c r="S8" i="18" s="1"/>
  <c r="S11" i="18" a="1"/>
  <c r="S11" i="18" s="1"/>
  <c r="P24" i="18" a="1"/>
  <c r="P24" i="18" s="1"/>
  <c r="R24" i="18" s="1"/>
  <c r="U24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O23" i="18" a="1"/>
  <c r="O23" i="18" s="1"/>
  <c r="O15" i="18" a="1"/>
  <c r="O15" i="18" s="1"/>
  <c r="O7" i="18" a="1"/>
  <c r="O7" i="18" s="1"/>
  <c r="T10" i="18" a="1"/>
  <c r="T10" i="18" s="1"/>
  <c r="T25" i="18" a="1"/>
  <c r="T25" i="18" s="1"/>
  <c r="T22" i="18" a="1"/>
  <c r="T22" i="18" s="1"/>
  <c r="T14" i="18" a="1"/>
  <c r="T14" i="18" s="1"/>
  <c r="T6" i="18" a="1"/>
  <c r="T6" i="18" s="1"/>
  <c r="S23" i="18" a="1"/>
  <c r="S23" i="18" s="1"/>
  <c r="S15" i="18" a="1"/>
  <c r="S15" i="18" s="1"/>
  <c r="S7" i="18" a="1"/>
  <c r="S7" i="18" s="1"/>
  <c r="O10" i="18" a="1"/>
  <c r="O10" i="18" s="1"/>
  <c r="P21" i="18" a="1"/>
  <c r="P21" i="18" s="1"/>
  <c r="R21" i="18" s="1"/>
  <c r="U21" i="18" s="1"/>
  <c r="P13" i="18" a="1"/>
  <c r="P13" i="18" s="1"/>
  <c r="R13" i="18" s="1"/>
  <c r="U13" i="18" s="1"/>
  <c r="P5" i="18" a="1"/>
  <c r="P5" i="18" s="1"/>
  <c r="R5" i="18" s="1"/>
  <c r="U5" i="18" s="1"/>
  <c r="O22" i="18" a="1"/>
  <c r="O22" i="18" s="1"/>
  <c r="O14" i="18" a="1"/>
  <c r="O14" i="18" s="1"/>
  <c r="P9" i="18" a="1"/>
  <c r="P9" i="18" s="1"/>
  <c r="R9" i="18" s="1"/>
  <c r="U9" i="18" s="1"/>
  <c r="T23" i="18" a="1"/>
  <c r="T23" i="18" s="1"/>
  <c r="T21" i="18" a="1"/>
  <c r="T21" i="18" s="1"/>
  <c r="T13" i="18" a="1"/>
  <c r="T13" i="18" s="1"/>
  <c r="T5" i="18" a="1"/>
  <c r="T5" i="18" s="1"/>
  <c r="S22" i="18" a="1"/>
  <c r="S22" i="18" s="1"/>
  <c r="S14" i="18" a="1"/>
  <c r="S14" i="18" s="1"/>
  <c r="T18" i="18" a="1"/>
  <c r="T18" i="18" s="1"/>
  <c r="O2" i="18" a="1"/>
  <c r="O2" i="18" s="1"/>
  <c r="T24" i="18" a="1"/>
  <c r="T24" i="18" s="1"/>
  <c r="T15" i="18" a="1"/>
  <c r="T15" i="18" s="1"/>
  <c r="P20" i="18" a="1"/>
  <c r="P20" i="18" s="1"/>
  <c r="R20" i="18" s="1"/>
  <c r="U20" i="18" s="1"/>
  <c r="P12" i="18" a="1"/>
  <c r="P12" i="18" s="1"/>
  <c r="P4" i="18" a="1"/>
  <c r="P4" i="18" s="1"/>
  <c r="R4" i="18" s="1"/>
  <c r="U4" i="18" s="1"/>
  <c r="O21" i="18" a="1"/>
  <c r="O21" i="18" s="1"/>
  <c r="O13" i="18" a="1"/>
  <c r="O13" i="18" s="1"/>
  <c r="O5" i="18" a="1"/>
  <c r="O5" i="18" s="1"/>
  <c r="T20" i="18" a="1"/>
  <c r="T20" i="18" s="1"/>
  <c r="T12" i="18" a="1"/>
  <c r="T12" i="18" s="1"/>
  <c r="T4" i="18" a="1"/>
  <c r="T4" i="18" s="1"/>
  <c r="S21" i="18" a="1"/>
  <c r="S21" i="18" s="1"/>
  <c r="S13" i="18" a="1"/>
  <c r="S13" i="18" s="1"/>
  <c r="O29" i="17" a="1"/>
  <c r="O29" i="17" s="1"/>
  <c r="S26" i="17" a="1"/>
  <c r="S26" i="17" s="1"/>
  <c r="U28" i="17" a="1"/>
  <c r="U28" i="17" s="1"/>
  <c r="X28" i="17" a="1"/>
  <c r="X28" i="17" s="1"/>
  <c r="U21" i="17" a="1"/>
  <c r="U21" i="17" s="1"/>
  <c r="N25" i="17" a="1"/>
  <c r="N25" i="17" s="1"/>
  <c r="N33" i="17" a="1"/>
  <c r="N33" i="17" s="1"/>
  <c r="T33" i="17" a="1"/>
  <c r="T33" i="17" s="1"/>
  <c r="U33" i="17" a="1"/>
  <c r="U33" i="17" s="1"/>
  <c r="R33" i="17" a="1"/>
  <c r="R33" i="17" s="1"/>
  <c r="O33" i="17" a="1"/>
  <c r="O33" i="17" s="1"/>
  <c r="X33" i="17" a="1"/>
  <c r="X33" i="17" s="1"/>
  <c r="Y33" i="17" s="1"/>
  <c r="Q33" i="17" s="1"/>
  <c r="W33" i="17" s="1"/>
  <c r="S33" i="17" a="1"/>
  <c r="S33" i="17" s="1"/>
  <c r="V33" i="17" a="1"/>
  <c r="V33" i="17" s="1"/>
  <c r="U27" i="17" a="1"/>
  <c r="U27" i="17" s="1"/>
  <c r="N27" i="17" a="1"/>
  <c r="N27" i="17" s="1"/>
  <c r="T27" i="17" a="1"/>
  <c r="T27" i="17" s="1"/>
  <c r="R27" i="17" a="1"/>
  <c r="R27" i="17" s="1"/>
  <c r="O27" i="17" a="1"/>
  <c r="O27" i="17" s="1"/>
  <c r="X27" i="17" a="1"/>
  <c r="X27" i="17" s="1"/>
  <c r="S27" i="17" a="1"/>
  <c r="S27" i="17" s="1"/>
  <c r="V27" i="17" a="1"/>
  <c r="V27" i="17" s="1"/>
  <c r="N11" i="17" a="1"/>
  <c r="N11" i="17" s="1"/>
  <c r="X14" i="17" a="1"/>
  <c r="X14" i="17" s="1"/>
  <c r="Y14" i="17" s="1"/>
  <c r="S34" i="17" a="1"/>
  <c r="S34" i="17" s="1"/>
  <c r="U32" i="17" a="1"/>
  <c r="U32" i="17" s="1"/>
  <c r="S13" i="17" a="1"/>
  <c r="S13" i="17" s="1"/>
  <c r="R10" i="17" a="1"/>
  <c r="R10" i="17" s="1"/>
  <c r="N18" i="17" a="1"/>
  <c r="N18" i="17" s="1"/>
  <c r="V20" i="17" a="1"/>
  <c r="V20" i="17" s="1"/>
  <c r="N13" i="17" a="1"/>
  <c r="N13" i="17" s="1"/>
  <c r="N3" i="17" a="1"/>
  <c r="N3" i="17" s="1"/>
  <c r="T13" i="17" a="1"/>
  <c r="T13" i="17" s="1"/>
  <c r="O28" i="17" a="1"/>
  <c r="O28" i="17" s="1"/>
  <c r="O21" i="17" a="1"/>
  <c r="O21" i="17" s="1"/>
  <c r="N17" i="17" a="1"/>
  <c r="N17" i="17" s="1"/>
  <c r="R13" i="17" a="1"/>
  <c r="R13" i="17" s="1"/>
  <c r="O32" i="17" a="1"/>
  <c r="O32" i="17" s="1"/>
  <c r="O13" i="17" a="1"/>
  <c r="O13" i="17" s="1"/>
  <c r="X13" i="17" a="1"/>
  <c r="X13" i="17" s="1"/>
  <c r="Y13" i="17" s="1"/>
  <c r="U13" i="17" a="1"/>
  <c r="U13" i="17" s="1"/>
  <c r="N24" i="17" a="1"/>
  <c r="N24" i="17" s="1"/>
  <c r="N31" i="17" a="1"/>
  <c r="N31" i="17" s="1"/>
  <c r="N10" i="17" a="1"/>
  <c r="N10" i="17" s="1"/>
  <c r="V13" i="17" a="1"/>
  <c r="V13" i="17" s="1"/>
  <c r="V7" i="17" a="1"/>
  <c r="V7" i="17" s="1"/>
  <c r="O14" i="17" a="1"/>
  <c r="O14" i="17" s="1"/>
  <c r="S6" i="17" a="1"/>
  <c r="S6" i="17" s="1"/>
  <c r="U14" i="17" a="1"/>
  <c r="U14" i="17" s="1"/>
  <c r="S32" i="17" a="1"/>
  <c r="S32" i="17" s="1"/>
  <c r="O22" i="17" a="1"/>
  <c r="O22" i="17" s="1"/>
  <c r="Q22" i="17" s="1"/>
  <c r="W22" i="17" s="1"/>
  <c r="X21" i="17" a="1"/>
  <c r="X21" i="17" s="1"/>
  <c r="Y21" i="17" s="1"/>
  <c r="N26" i="17" a="1"/>
  <c r="N26" i="17" s="1"/>
  <c r="T26" i="17" a="1"/>
  <c r="T26" i="17" s="1"/>
  <c r="R26" i="17" a="1"/>
  <c r="R26" i="17" s="1"/>
  <c r="O26" i="17" a="1"/>
  <c r="O26" i="17" s="1"/>
  <c r="X26" i="17" a="1"/>
  <c r="X26" i="17" s="1"/>
  <c r="Y26" i="17" s="1"/>
  <c r="Q26" i="17" s="1"/>
  <c r="W26" i="17" s="1"/>
  <c r="U26" i="17" a="1"/>
  <c r="U26" i="17" s="1"/>
  <c r="V26" i="17" a="1"/>
  <c r="V26" i="17" s="1"/>
  <c r="Y6" i="17"/>
  <c r="Q6" i="17" s="1"/>
  <c r="W6" i="17"/>
  <c r="T31" i="17" a="1"/>
  <c r="T31" i="17" s="1"/>
  <c r="R29" i="17" a="1"/>
  <c r="R29" i="17" s="1"/>
  <c r="V12" i="17" a="1"/>
  <c r="V12" i="17" s="1"/>
  <c r="R3" i="17" a="1"/>
  <c r="R3" i="17" s="1"/>
  <c r="T35" i="17" a="1"/>
  <c r="T35" i="17" s="1"/>
  <c r="V19" i="17" a="1"/>
  <c r="V19" i="17" s="1"/>
  <c r="T24" i="17" a="1"/>
  <c r="T24" i="17" s="1"/>
  <c r="T17" i="17" a="1"/>
  <c r="T17" i="17" s="1"/>
  <c r="O15" i="17" a="1"/>
  <c r="O15" i="17" s="1"/>
  <c r="T12" i="17" a="1"/>
  <c r="T12" i="17" s="1"/>
  <c r="S23" i="17" a="1"/>
  <c r="S23" i="17" s="1"/>
  <c r="N7" i="17" a="1"/>
  <c r="N7" i="17" s="1"/>
  <c r="R22" i="17" a="1"/>
  <c r="R22" i="17" s="1"/>
  <c r="V35" i="17" a="1"/>
  <c r="V35" i="17" s="1"/>
  <c r="X8" i="17" a="1"/>
  <c r="X8" i="17" s="1"/>
  <c r="Y8" i="17" s="1"/>
  <c r="Q8" i="17" s="1"/>
  <c r="W8" i="17" s="1"/>
  <c r="V5" i="17" a="1"/>
  <c r="V5" i="17" s="1"/>
  <c r="R15" i="17" a="1"/>
  <c r="R15" i="17" s="1"/>
  <c r="O8" i="17" a="1"/>
  <c r="O8" i="17" s="1"/>
  <c r="X15" i="17" a="1"/>
  <c r="X15" i="17" s="1"/>
  <c r="Y15" i="17" s="1"/>
  <c r="Q15" i="17" s="1"/>
  <c r="W15" i="17" s="1"/>
  <c r="R25" i="17" a="1"/>
  <c r="R25" i="17" s="1"/>
  <c r="N4" i="17" a="1"/>
  <c r="N4" i="17" s="1"/>
  <c r="X32" i="17" a="1"/>
  <c r="X32" i="17" s="1"/>
  <c r="Y32" i="17" s="1"/>
  <c r="Q32" i="17" s="1"/>
  <c r="W32" i="17" s="1"/>
  <c r="T10" i="17" a="1"/>
  <c r="T10" i="17" s="1"/>
  <c r="X29" i="17" a="1"/>
  <c r="X29" i="17" s="1"/>
  <c r="Y29" i="17" s="1"/>
  <c r="Q29" i="17" s="1"/>
  <c r="W29" i="17" s="1"/>
  <c r="Y28" i="17"/>
  <c r="T3" i="17" a="1"/>
  <c r="T3" i="17" s="1"/>
  <c r="R8" i="17" a="1"/>
  <c r="R8" i="17" s="1"/>
  <c r="N36" i="17" a="1"/>
  <c r="N36" i="17" s="1"/>
  <c r="Y27" i="17"/>
  <c r="Q27" i="17" s="1"/>
  <c r="W27" i="17"/>
  <c r="U30" i="17" a="1"/>
  <c r="U30" i="17" s="1"/>
  <c r="X30" i="17" a="1"/>
  <c r="X30" i="17" s="1"/>
  <c r="Y30" i="17" s="1"/>
  <c r="Q30" i="17" s="1"/>
  <c r="W30" i="17" s="1"/>
  <c r="X23" i="17" a="1"/>
  <c r="X23" i="17" s="1"/>
  <c r="Y23" i="17" s="1"/>
  <c r="X16" i="17" a="1"/>
  <c r="X16" i="17" s="1"/>
  <c r="Y16" i="17" s="1"/>
  <c r="X9" i="17" a="1"/>
  <c r="X9" i="17" s="1"/>
  <c r="Y9" i="17" s="1"/>
  <c r="Q9" i="17" s="1"/>
  <c r="W9" i="17" s="1"/>
  <c r="X2" i="17" a="1"/>
  <c r="X2" i="17" s="1"/>
  <c r="Y2" i="17" s="1"/>
  <c r="Q2" i="17" s="1"/>
  <c r="W2" i="17" s="1"/>
  <c r="O30" i="17" a="1"/>
  <c r="O30" i="17" s="1"/>
  <c r="O23" i="17" a="1"/>
  <c r="O23" i="17" s="1"/>
  <c r="O16" i="17" a="1"/>
  <c r="O16" i="17" s="1"/>
  <c r="O9" i="17" a="1"/>
  <c r="O9" i="17" s="1"/>
  <c r="O2" i="17" a="1"/>
  <c r="O2" i="17" s="1"/>
  <c r="N35" i="17" a="1"/>
  <c r="N35" i="17" s="1"/>
  <c r="N19" i="17" a="1"/>
  <c r="N19" i="17" s="1"/>
  <c r="N12" i="17" a="1"/>
  <c r="N12" i="17" s="1"/>
  <c r="N5" i="17" a="1"/>
  <c r="N5" i="17" s="1"/>
  <c r="V34" i="17" a="1"/>
  <c r="V34" i="17" s="1"/>
  <c r="V6" i="17" a="1"/>
  <c r="V6" i="17" s="1"/>
  <c r="U29" i="17" a="1"/>
  <c r="U29" i="17" s="1"/>
  <c r="U22" i="17" a="1"/>
  <c r="U22" i="17" s="1"/>
  <c r="U15" i="17" a="1"/>
  <c r="U15" i="17" s="1"/>
  <c r="U8" i="17" a="1"/>
  <c r="U8" i="17" s="1"/>
  <c r="T36" i="17" a="1"/>
  <c r="T36" i="17" s="1"/>
  <c r="T25" i="17" a="1"/>
  <c r="T25" i="17" s="1"/>
  <c r="T18" i="17" a="1"/>
  <c r="T18" i="17" s="1"/>
  <c r="T11" i="17" a="1"/>
  <c r="T11" i="17" s="1"/>
  <c r="T4" i="17" a="1"/>
  <c r="T4" i="17" s="1"/>
  <c r="S20" i="17" a="1"/>
  <c r="S20" i="17" s="1"/>
  <c r="S7" i="17" a="1"/>
  <c r="S7" i="17" s="1"/>
  <c r="R30" i="17" a="1"/>
  <c r="R30" i="17" s="1"/>
  <c r="R23" i="17" a="1"/>
  <c r="R23" i="17" s="1"/>
  <c r="R16" i="17" a="1"/>
  <c r="R16" i="17" s="1"/>
  <c r="R9" i="17" a="1"/>
  <c r="R9" i="17" s="1"/>
  <c r="R2" i="17" a="1"/>
  <c r="R2" i="17" s="1"/>
  <c r="T23" i="17" a="1"/>
  <c r="T23" i="17" s="1"/>
  <c r="R28" i="17" a="1"/>
  <c r="R28" i="17" s="1"/>
  <c r="R21" i="17" a="1"/>
  <c r="R21" i="17" s="1"/>
  <c r="R14" i="17" a="1"/>
  <c r="R14" i="17" s="1"/>
  <c r="R32" i="17" a="1"/>
  <c r="R32" i="17" s="1"/>
  <c r="X20" i="17" a="1"/>
  <c r="X20" i="17" s="1"/>
  <c r="Y20" i="17" s="1"/>
  <c r="Q20" i="17" s="1"/>
  <c r="W20" i="17" s="1"/>
  <c r="X7" i="17" a="1"/>
  <c r="X7" i="17" s="1"/>
  <c r="Y7" i="17" s="1"/>
  <c r="Q7" i="17" s="1"/>
  <c r="W7" i="17" s="1"/>
  <c r="O20" i="17" a="1"/>
  <c r="O20" i="17" s="1"/>
  <c r="O7" i="17" a="1"/>
  <c r="O7" i="17" s="1"/>
  <c r="N30" i="17" a="1"/>
  <c r="N30" i="17" s="1"/>
  <c r="N23" i="17" a="1"/>
  <c r="N23" i="17" s="1"/>
  <c r="N16" i="17" a="1"/>
  <c r="N16" i="17" s="1"/>
  <c r="N9" i="17" a="1"/>
  <c r="N9" i="17" s="1"/>
  <c r="N2" i="17" a="1"/>
  <c r="N2" i="17" s="1"/>
  <c r="U7" i="17" a="1"/>
  <c r="U7" i="17" s="1"/>
  <c r="V24" i="17" a="1"/>
  <c r="V24" i="17" s="1"/>
  <c r="V3" i="17" a="1"/>
  <c r="V3" i="17" s="1"/>
  <c r="U6" i="17" a="1"/>
  <c r="U6" i="17" s="1"/>
  <c r="R20" i="17" a="1"/>
  <c r="R20" i="17" s="1"/>
  <c r="R7" i="17" a="1"/>
  <c r="R7" i="17" s="1"/>
  <c r="V11" i="17" a="1"/>
  <c r="V11" i="17" s="1"/>
  <c r="T30" i="17" a="1"/>
  <c r="T30" i="17" s="1"/>
  <c r="V31" i="17" a="1"/>
  <c r="V31" i="17" s="1"/>
  <c r="V17" i="17" a="1"/>
  <c r="V17" i="17" s="1"/>
  <c r="V10" i="17" a="1"/>
  <c r="V10" i="17" s="1"/>
  <c r="U34" i="17" a="1"/>
  <c r="U34" i="17" s="1"/>
  <c r="T29" i="17" a="1"/>
  <c r="T29" i="17" s="1"/>
  <c r="T22" i="17" a="1"/>
  <c r="T22" i="17" s="1"/>
  <c r="T15" i="17" a="1"/>
  <c r="T15" i="17" s="1"/>
  <c r="T8" i="17" a="1"/>
  <c r="T8" i="17" s="1"/>
  <c r="S36" i="17" a="1"/>
  <c r="S36" i="17" s="1"/>
  <c r="S25" i="17" a="1"/>
  <c r="S25" i="17" s="1"/>
  <c r="S18" i="17" a="1"/>
  <c r="S18" i="17" s="1"/>
  <c r="S11" i="17" a="1"/>
  <c r="S11" i="17" s="1"/>
  <c r="S4" i="17" a="1"/>
  <c r="S4" i="17" s="1"/>
  <c r="X34" i="17" a="1"/>
  <c r="X34" i="17" s="1"/>
  <c r="Y34" i="17" s="1"/>
  <c r="X6" i="17" a="1"/>
  <c r="X6" i="17" s="1"/>
  <c r="O34" i="17" a="1"/>
  <c r="O34" i="17" s="1"/>
  <c r="O6" i="17" a="1"/>
  <c r="O6" i="17" s="1"/>
  <c r="N29" i="17" a="1"/>
  <c r="N29" i="17" s="1"/>
  <c r="N22" i="17" a="1"/>
  <c r="N22" i="17" s="1"/>
  <c r="N15" i="17" a="1"/>
  <c r="N15" i="17" s="1"/>
  <c r="N8" i="17" a="1"/>
  <c r="N8" i="17" s="1"/>
  <c r="T9" i="17" a="1"/>
  <c r="T9" i="17" s="1"/>
  <c r="V9" i="17" a="1"/>
  <c r="V9" i="17" s="1"/>
  <c r="T21" i="17" a="1"/>
  <c r="T21" i="17" s="1"/>
  <c r="T14" i="17" a="1"/>
  <c r="T14" i="17" s="1"/>
  <c r="T32" i="17" a="1"/>
  <c r="T32" i="17" s="1"/>
  <c r="S31" i="17" a="1"/>
  <c r="S31" i="17" s="1"/>
  <c r="S24" i="17" a="1"/>
  <c r="S24" i="17" s="1"/>
  <c r="S17" i="17" a="1"/>
  <c r="S17" i="17" s="1"/>
  <c r="S10" i="17" a="1"/>
  <c r="S10" i="17" s="1"/>
  <c r="S3" i="17" a="1"/>
  <c r="S3" i="17" s="1"/>
  <c r="R34" i="17" a="1"/>
  <c r="R34" i="17" s="1"/>
  <c r="R6" i="17" a="1"/>
  <c r="R6" i="17" s="1"/>
  <c r="U20" i="17" a="1"/>
  <c r="U20" i="17" s="1"/>
  <c r="V30" i="17" a="1"/>
  <c r="V30" i="17" s="1"/>
  <c r="U19" i="17" a="1"/>
  <c r="U19" i="17" s="1"/>
  <c r="U5" i="17" a="1"/>
  <c r="U5" i="17" s="1"/>
  <c r="T28" i="17" a="1"/>
  <c r="T28" i="17" s="1"/>
  <c r="X35" i="17" a="1"/>
  <c r="X35" i="17" s="1"/>
  <c r="Y35" i="17" s="1"/>
  <c r="X19" i="17" a="1"/>
  <c r="X19" i="17" s="1"/>
  <c r="Y19" i="17" s="1"/>
  <c r="Q19" i="17" s="1"/>
  <c r="W19" i="17" s="1"/>
  <c r="X12" i="17" a="1"/>
  <c r="X12" i="17" s="1"/>
  <c r="Y12" i="17" s="1"/>
  <c r="Q12" i="17" s="1"/>
  <c r="W12" i="17" s="1"/>
  <c r="X5" i="17" a="1"/>
  <c r="X5" i="17" s="1"/>
  <c r="Y5" i="17" s="1"/>
  <c r="Q5" i="17" s="1"/>
  <c r="W5" i="17" s="1"/>
  <c r="O35" i="17" a="1"/>
  <c r="O35" i="17" s="1"/>
  <c r="O19" i="17" a="1"/>
  <c r="O19" i="17" s="1"/>
  <c r="O12" i="17" a="1"/>
  <c r="O12" i="17" s="1"/>
  <c r="O5" i="17" a="1"/>
  <c r="O5" i="17" s="1"/>
  <c r="N28" i="17" a="1"/>
  <c r="N28" i="17" s="1"/>
  <c r="N21" i="17" a="1"/>
  <c r="N21" i="17" s="1"/>
  <c r="N14" i="17" a="1"/>
  <c r="N14" i="17" s="1"/>
  <c r="N32" i="17" a="1"/>
  <c r="N32" i="17" s="1"/>
  <c r="V18" i="17" a="1"/>
  <c r="V18" i="17" s="1"/>
  <c r="S5" i="17" a="1"/>
  <c r="S5" i="17" s="1"/>
  <c r="V2" i="17" a="1"/>
  <c r="V2" i="17" s="1"/>
  <c r="U35" i="17" a="1"/>
  <c r="U35" i="17" s="1"/>
  <c r="U12" i="17" a="1"/>
  <c r="U12" i="17" s="1"/>
  <c r="V22" i="17" a="1"/>
  <c r="V22" i="17" s="1"/>
  <c r="V8" i="17" a="1"/>
  <c r="V8" i="17" s="1"/>
  <c r="U18" i="17" a="1"/>
  <c r="U18" i="17" s="1"/>
  <c r="U11" i="17" a="1"/>
  <c r="U11" i="17" s="1"/>
  <c r="U4" i="17" a="1"/>
  <c r="U4" i="17" s="1"/>
  <c r="T20" i="17" a="1"/>
  <c r="T20" i="17" s="1"/>
  <c r="T7" i="17" a="1"/>
  <c r="T7" i="17" s="1"/>
  <c r="S30" i="17" a="1"/>
  <c r="S30" i="17" s="1"/>
  <c r="S16" i="17" a="1"/>
  <c r="S16" i="17" s="1"/>
  <c r="S9" i="17" a="1"/>
  <c r="S9" i="17" s="1"/>
  <c r="S2" i="17" a="1"/>
  <c r="S2" i="17" s="1"/>
  <c r="R35" i="17" a="1"/>
  <c r="R35" i="17" s="1"/>
  <c r="R19" i="17" a="1"/>
  <c r="R19" i="17" s="1"/>
  <c r="R12" i="17" a="1"/>
  <c r="R12" i="17" s="1"/>
  <c r="R5" i="17" a="1"/>
  <c r="R5" i="17" s="1"/>
  <c r="V36" i="17" a="1"/>
  <c r="V36" i="17" s="1"/>
  <c r="T16" i="17" a="1"/>
  <c r="T16" i="17" s="1"/>
  <c r="V16" i="17" a="1"/>
  <c r="V16" i="17" s="1"/>
  <c r="V29" i="17" a="1"/>
  <c r="V29" i="17" s="1"/>
  <c r="V15" i="17" a="1"/>
  <c r="V15" i="17" s="1"/>
  <c r="U36" i="17" a="1"/>
  <c r="U36" i="17" s="1"/>
  <c r="U25" i="17" a="1"/>
  <c r="U25" i="17" s="1"/>
  <c r="X36" i="17" a="1"/>
  <c r="X36" i="17" s="1"/>
  <c r="Y36" i="17" s="1"/>
  <c r="X25" i="17" a="1"/>
  <c r="X25" i="17" s="1"/>
  <c r="Y25" i="17" s="1"/>
  <c r="Q25" i="17" s="1"/>
  <c r="W25" i="17" s="1"/>
  <c r="X18" i="17" a="1"/>
  <c r="X18" i="17" s="1"/>
  <c r="Y18" i="17" s="1"/>
  <c r="X11" i="17" a="1"/>
  <c r="X11" i="17" s="1"/>
  <c r="Y11" i="17" s="1"/>
  <c r="X4" i="17" a="1"/>
  <c r="X4" i="17" s="1"/>
  <c r="Y4" i="17" s="1"/>
  <c r="O36" i="17" a="1"/>
  <c r="O36" i="17" s="1"/>
  <c r="O25" i="17" a="1"/>
  <c r="O25" i="17" s="1"/>
  <c r="O18" i="17" a="1"/>
  <c r="O18" i="17" s="1"/>
  <c r="O11" i="17" a="1"/>
  <c r="O11" i="17" s="1"/>
  <c r="O4" i="17" a="1"/>
  <c r="O4" i="17" s="1"/>
  <c r="N20" i="17" a="1"/>
  <c r="N20" i="17" s="1"/>
  <c r="V25" i="17" a="1"/>
  <c r="V25" i="17" s="1"/>
  <c r="T2" i="17" a="1"/>
  <c r="T2" i="17" s="1"/>
  <c r="S35" i="17" a="1"/>
  <c r="S35" i="17" s="1"/>
  <c r="S12" i="17" a="1"/>
  <c r="S12" i="17" s="1"/>
  <c r="V28" i="17" a="1"/>
  <c r="V28" i="17" s="1"/>
  <c r="V32" i="17" a="1"/>
  <c r="V32" i="17" s="1"/>
  <c r="U24" i="17" a="1"/>
  <c r="U24" i="17" s="1"/>
  <c r="U3" i="17" a="1"/>
  <c r="U3" i="17" s="1"/>
  <c r="T34" i="17" a="1"/>
  <c r="T34" i="17" s="1"/>
  <c r="T6" i="17" a="1"/>
  <c r="T6" i="17" s="1"/>
  <c r="S29" i="17" a="1"/>
  <c r="S29" i="17" s="1"/>
  <c r="S22" i="17" a="1"/>
  <c r="S22" i="17" s="1"/>
  <c r="S15" i="17" a="1"/>
  <c r="S15" i="17" s="1"/>
  <c r="S8" i="17" a="1"/>
  <c r="S8" i="17" s="1"/>
  <c r="R36" i="17" a="1"/>
  <c r="R36" i="17" s="1"/>
  <c r="R18" i="17" a="1"/>
  <c r="R18" i="17" s="1"/>
  <c r="R11" i="17" a="1"/>
  <c r="R11" i="17" s="1"/>
  <c r="R4" i="17" a="1"/>
  <c r="R4" i="17" s="1"/>
  <c r="V4" i="17" a="1"/>
  <c r="V4" i="17" s="1"/>
  <c r="S19" i="17" a="1"/>
  <c r="S19" i="17" s="1"/>
  <c r="V23" i="17" a="1"/>
  <c r="V23" i="17" s="1"/>
  <c r="V21" i="17" a="1"/>
  <c r="V21" i="17" s="1"/>
  <c r="V14" i="17" a="1"/>
  <c r="V14" i="17" s="1"/>
  <c r="U31" i="17" a="1"/>
  <c r="U31" i="17" s="1"/>
  <c r="U17" i="17" a="1"/>
  <c r="U17" i="17" s="1"/>
  <c r="U10" i="17" a="1"/>
  <c r="U10" i="17" s="1"/>
  <c r="X31" i="17" a="1"/>
  <c r="X31" i="17" s="1"/>
  <c r="Y31" i="17" s="1"/>
  <c r="X24" i="17" a="1"/>
  <c r="X24" i="17" s="1"/>
  <c r="Y24" i="17" s="1"/>
  <c r="X17" i="17" a="1"/>
  <c r="X17" i="17" s="1"/>
  <c r="Y17" i="17" s="1"/>
  <c r="X10" i="17" a="1"/>
  <c r="X10" i="17" s="1"/>
  <c r="Y10" i="17" s="1"/>
  <c r="X3" i="17" a="1"/>
  <c r="X3" i="17" s="1"/>
  <c r="Y3" i="17" s="1"/>
  <c r="Q3" i="17" s="1"/>
  <c r="W3" i="17" s="1"/>
  <c r="O31" i="17" a="1"/>
  <c r="O31" i="17" s="1"/>
  <c r="O24" i="17" a="1"/>
  <c r="O24" i="17" s="1"/>
  <c r="O17" i="17" a="1"/>
  <c r="O17" i="17" s="1"/>
  <c r="O10" i="17" a="1"/>
  <c r="O10" i="17" s="1"/>
  <c r="O3" i="17" a="1"/>
  <c r="O3" i="17" s="1"/>
  <c r="N34" i="17" a="1"/>
  <c r="N34" i="17" s="1"/>
  <c r="N6" i="17" a="1"/>
  <c r="N6" i="17" s="1"/>
  <c r="U23" i="17" a="1"/>
  <c r="U23" i="17" s="1"/>
  <c r="U16" i="17" a="1"/>
  <c r="U16" i="17" s="1"/>
  <c r="U9" i="17" a="1"/>
  <c r="U9" i="17" s="1"/>
  <c r="U2" i="17" a="1"/>
  <c r="U2" i="17" s="1"/>
  <c r="T19" i="17" a="1"/>
  <c r="T19" i="17" s="1"/>
  <c r="T5" i="17" a="1"/>
  <c r="T5" i="17" s="1"/>
  <c r="S28" i="17" a="1"/>
  <c r="S28" i="17" s="1"/>
  <c r="S21" i="17" a="1"/>
  <c r="S21" i="17" s="1"/>
  <c r="S14" i="17" a="1"/>
  <c r="S14" i="17" s="1"/>
  <c r="R31" i="17" a="1"/>
  <c r="R31" i="17" s="1"/>
  <c r="R24" i="17" a="1"/>
  <c r="R24" i="17" s="1"/>
  <c r="R17" i="17" a="1"/>
  <c r="R17" i="17" s="1"/>
  <c r="Q35" i="17" l="1"/>
  <c r="W35" i="17" s="1"/>
  <c r="Q14" i="17"/>
  <c r="W14" i="17" s="1"/>
  <c r="Q18" i="17"/>
  <c r="W18" i="17" s="1"/>
  <c r="Q34" i="17"/>
  <c r="W34" i="17" s="1"/>
  <c r="Q31" i="17"/>
  <c r="W31" i="17" s="1"/>
  <c r="Q13" i="17"/>
  <c r="W13" i="17" s="1"/>
  <c r="Q16" i="17"/>
  <c r="W16" i="17" s="1"/>
  <c r="Q23" i="17"/>
  <c r="W23" i="17" s="1"/>
  <c r="Q17" i="17"/>
  <c r="W17" i="17" s="1"/>
  <c r="Q10" i="17"/>
  <c r="W10" i="17" s="1"/>
  <c r="Q24" i="17"/>
  <c r="W24" i="17" s="1"/>
  <c r="Q28" i="17"/>
  <c r="W28" i="17" s="1"/>
  <c r="Q4" i="17"/>
  <c r="W4" i="17" s="1"/>
  <c r="Q11" i="17"/>
  <c r="W11" i="17" s="1"/>
  <c r="Q21" i="17"/>
  <c r="W21" i="17" s="1"/>
  <c r="Q36" i="17"/>
  <c r="W3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<sst xmlns="http://schemas.openxmlformats.org/spreadsheetml/2006/main" count="637" uniqueCount="99">
  <si>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</si>
  <si>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</si>
  <si>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</si>
  <si>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</si>
  <si>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</si>
  <si>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</si>
  <si>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</si>
  <si>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</si>
  <si>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</si>
  <si>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</si>
  <si>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</si>
  <si>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</si>
  <si>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</si>
  <si>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</si>
  <si>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</si>
  <si>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</si>
  <si>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</si>
  <si>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</si>
  <si>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</si>
  <si>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</si>
  <si>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</si>
  <si>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</si>
  <si>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</si>
  <si>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</si>
  <si>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</si>
  <si>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</si>
  <si>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</si>
  <si>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</si>
  <si>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</si>
  <si>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</si>
  <si>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</si>
  <si>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</si>
  <si>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</si>
  <si>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</si>
  <si>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</si>
  <si>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</si>
  <si>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</si>
  <si>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</si>
  <si>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</si>
  <si>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</si>
  <si>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</si>
  <si>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</si>
  <si>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</si>
  <si>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</si>
  <si>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</si>
  <si>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</si>
  <si>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</si>
  <si>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</si>
  <si>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</si>
  <si>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</si>
  <si>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</si>
  <si>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</si>
  <si>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</si>
  <si>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</si>
  <si>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</si>
  <si>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</si>
  <si>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</si>
  <si>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</si>
  <si>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</si>
  <si>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</si>
  <si>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</si>
  <si>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</si>
  <si>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</si>
  <si>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</si>
  <si>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</si>
  <si>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</si>
  <si>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</si>
  <si>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</si>
  <si>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E:\programming\Data-Science\model\production\Arena\Ex1\4.p</t>
  </si>
  <si>
    <t>2025-04-28 16:17:49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</si>
  <si>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</si>
  <si>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</si>
  <si>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</si>
  <si>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</si>
  <si>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</si>
  <si>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</si>
  <si>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</si>
  <si>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</si>
  <si>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3.Queue</t>
  </si>
  <si>
    <t>Waiting Time</t>
  </si>
  <si>
    <t>Queue</t>
  </si>
  <si>
    <t>WIP</t>
  </si>
  <si>
    <t>Number Waiting</t>
  </si>
  <si>
    <t>Resource 1</t>
  </si>
  <si>
    <t>Instantaneous Utilization</t>
  </si>
  <si>
    <t>Resource</t>
  </si>
  <si>
    <t>Number Busy</t>
  </si>
  <si>
    <t>Number Scheduled</t>
  </si>
  <si>
    <t>Part.NumberIn</t>
  </si>
  <si>
    <t>Number In</t>
  </si>
  <si>
    <t>Part.NumberOut</t>
  </si>
  <si>
    <t>Number Out</t>
  </si>
  <si>
    <t>Resource 1.NumberSeized</t>
  </si>
  <si>
    <t>Total Number Seized</t>
  </si>
  <si>
    <t>Resource 1.ScheduledUtilization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</si>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</sst>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9161689812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Part"/>
        <s v="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32569845747341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6.8530488026672201"/>
    </cacheField>
    <cacheField name="NumberObservations" numFmtId="0">
      <sharedItems containsSemiMixedTypes="0" containsString="0" containsNumber="1" containsInteger="1" minValue="5970" maxValue="6018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3092013551920503"/>
    </cacheField>
    <cacheField name="StDevOfAverage" numFmtId="0">
      <sharedItems containsSemiMixedTypes="0" containsString="0" containsNumber="1" minValue="0" maxValue="1.646170450893018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0439905837807176E-2"/>
    </cacheField>
    <cacheField name="MinimumAverage" numFmtId="0">
      <sharedItems containsSemiMixedTypes="0" containsString="0" containsNumber="1" minValue="0" maxValue="1.28443275256349"/>
    </cacheField>
    <cacheField name="MaximumAverage" numFmtId="0">
      <sharedItems containsSemiMixedTypes="0" containsString="0" containsNumber="1" minValue="0" maxValue="1.3256984574734101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6.8530488026672201"/>
    </cacheField>
    <cacheField name="AverageNumberObservations" numFmtId="0">
      <sharedItems containsSemiMixedTypes="0" containsString="0" containsNumber="1" minValue="5984.8" maxValue="5985"/>
    </cacheField>
    <cacheField name="SummaryHalfWidth" numFmtId="0">
      <sharedItems containsSemiMixedTypes="0" containsString="0" containsNumber="1" minValue="0" maxValue="2.0439905837807176E-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9161921296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Resource 1.NumberSeized"/>
        <s v="Resource 1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69225903515128395" maxValue="60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70025856039642087" maxValue="5985"/>
    </cacheField>
    <cacheField name="StandardDeviation" numFmtId="0">
      <sharedItems containsSemiMixedTypes="0" containsString="0" containsNumber="1" minValue="4.8194835670028443E-3" maxValue="19.07092027144993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9841792350820893E-3" maxValue="23.679675113673735"/>
    </cacheField>
    <cacheField name="Minimum" numFmtId="0">
      <sharedItems containsSemiMixedTypes="0" containsString="0" containsNumber="1" minValue="0.69225903515128395" maxValue="5970"/>
    </cacheField>
    <cacheField name="Maximum" numFmtId="0">
      <sharedItems containsSemiMixedTypes="0" containsString="0" containsNumber="1" minValue="0.70509920302947404" maxValue="60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916203703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916226852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6">
        <s v="Part"/>
        <s v="Process 3.Queue"/>
        <s v="Resource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15982329555635399" maxValue="1"/>
    </cacheField>
    <cacheField name="BatchMeansHalfWidth" numFmtId="0">
      <sharedItems containsSemiMixedTypes="0" containsString="0" containsNumber="1" minValue="8.7529547435898098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6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17032713064976762" maxValue="1"/>
    </cacheField>
    <cacheField name="StDevOfAverage" numFmtId="0">
      <sharedItems containsSemiMixedTypes="0" containsString="0" containsNumber="1" minValue="0" maxValue="1.1588921672775905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4389546819089181E-2"/>
    </cacheField>
    <cacheField name="MinimumAverage" numFmtId="0">
      <sharedItems containsSemiMixedTypes="0" containsString="0" containsNumber="1" minValue="0.15982329555635399" maxValue="1"/>
    </cacheField>
    <cacheField name="MaximumAverage" numFmtId="0">
      <sharedItems containsSemiMixedTypes="0" containsString="0" containsNumber="1" minValue="0.17885173074523" maxValue="1"/>
    </cacheField>
    <cacheField name="SummaryHalfWidth" numFmtId="0">
      <sharedItems containsSemiMixedTypes="0" containsString="0" containsNumber="1" minValue="0" maxValue="1.4389546819089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916249999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8 16:17:49"/>
    <n v="1"/>
    <x v="0"/>
    <x v="0"/>
    <x v="0"/>
    <n v="0"/>
    <n v="0"/>
    <n v="0"/>
    <n v="0"/>
    <n v="5981"/>
    <s v="Unnamed ProjectPartNVA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1"/>
    <x v="0"/>
    <x v="1"/>
    <x v="0"/>
    <n v="0"/>
    <n v="0"/>
    <n v="0"/>
    <n v="0"/>
    <n v="5981"/>
    <s v="Unnamed ProjectPartOth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1"/>
    <x v="0"/>
    <x v="2"/>
    <x v="0"/>
    <n v="1.3225130771201701"/>
    <n v="4.1792533164519897E-2"/>
    <n v="0"/>
    <n v="6.8530488026672201"/>
    <n v="5981"/>
    <s v="Unnamed ProjectPartTotal TimeEntity"/>
    <n v="5"/>
    <n v="1.3092013551920503"/>
    <n v="1.646170450893018E-2"/>
    <n v="0.95"/>
    <n v="2.0439905837807176E-2"/>
    <n v="1.28443275256349"/>
    <n v="1.3256984574734101"/>
    <n v="0"/>
    <n v="6.8530488026672201"/>
    <n v="5984.8"/>
    <n v="2.0439905837807176E-2"/>
    <n v="5"/>
    <n v="1"/>
  </r>
  <r>
    <x v="0"/>
    <s v="2025-04-28 16:17:49"/>
    <n v="1"/>
    <x v="0"/>
    <x v="3"/>
    <x v="0"/>
    <n v="0"/>
    <n v="0"/>
    <n v="0"/>
    <n v="0"/>
    <n v="5981"/>
    <s v="Unnamed ProjectPartTransf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1"/>
    <x v="0"/>
    <x v="4"/>
    <x v="0"/>
    <n v="1.0533832365070499"/>
    <n v="3E+20"/>
    <n v="0"/>
    <n v="2.5160616991834099"/>
    <n v="5981"/>
    <s v="Unnamed ProjectPartVA TimeEntity"/>
    <n v="5"/>
    <n v="1.053005960029394"/>
    <n v="6.8670751075329169E-3"/>
    <n v="0.95"/>
    <n v="8.5265999339848627E-3"/>
    <n v="1.04349311102124"/>
    <n v="1.06204234135943"/>
    <n v="0"/>
    <n v="2.5625835973069102"/>
    <n v="5984.8"/>
    <n v="8.5265999339848627E-3"/>
    <n v="5"/>
    <n v="1"/>
  </r>
  <r>
    <x v="0"/>
    <s v="2025-04-28 16:17:49"/>
    <n v="1"/>
    <x v="0"/>
    <x v="5"/>
    <x v="0"/>
    <n v="0.26912984061312001"/>
    <n v="3.65095326523995E-2"/>
    <n v="0"/>
    <n v="5.8598129949696203"/>
    <n v="5981"/>
    <s v="Unnamed ProjectPartWait TimeEntity"/>
    <n v="5"/>
    <n v="0.25619539516265533"/>
    <n v="1.1369708255191863E-2"/>
    <n v="0.95"/>
    <n v="1.4117357410551869E-2"/>
    <n v="0.24093964154224301"/>
    <n v="0.26912984061312001"/>
    <n v="0"/>
    <n v="5.8598129949696203"/>
    <n v="5984.8"/>
    <n v="1.4117357410551869E-2"/>
    <n v="5"/>
    <n v="1"/>
  </r>
  <r>
    <x v="0"/>
    <s v="2025-04-28 16:17:49"/>
    <n v="2"/>
    <x v="0"/>
    <x v="0"/>
    <x v="0"/>
    <n v="0"/>
    <n v="0"/>
    <n v="0"/>
    <n v="0"/>
    <n v="5980"/>
    <s v="Unnamed ProjectPartNVA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2"/>
    <x v="0"/>
    <x v="1"/>
    <x v="0"/>
    <n v="0"/>
    <n v="0"/>
    <n v="0"/>
    <n v="0"/>
    <n v="5980"/>
    <s v="Unnamed ProjectPartOth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2"/>
    <x v="0"/>
    <x v="2"/>
    <x v="0"/>
    <n v="1.3046307634799299"/>
    <n v="3.3050368391924899E-2"/>
    <n v="0"/>
    <n v="5.84484414932012"/>
    <n v="5980"/>
    <s v="Unnamed ProjectPartTotal TimeEntity"/>
    <n v="5"/>
    <n v="1.3092013551920503"/>
    <n v="1.646170450893018E-2"/>
    <n v="0.95"/>
    <n v="2.0439905837807176E-2"/>
    <n v="1.28443275256349"/>
    <n v="1.3256984574734101"/>
    <n v="0"/>
    <n v="6.8530488026672201"/>
    <n v="5984.8"/>
    <n v="2.0439905837807176E-2"/>
    <n v="5"/>
    <n v="1"/>
  </r>
  <r>
    <x v="0"/>
    <s v="2025-04-28 16:17:49"/>
    <n v="2"/>
    <x v="0"/>
    <x v="3"/>
    <x v="0"/>
    <n v="0"/>
    <n v="0"/>
    <n v="0"/>
    <n v="0"/>
    <n v="5980"/>
    <s v="Unnamed ProjectPartTransf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2"/>
    <x v="0"/>
    <x v="4"/>
    <x v="0"/>
    <n v="1.05591292691706"/>
    <n v="9.8193923179411505E-3"/>
    <n v="0"/>
    <n v="2.5625835973069102"/>
    <n v="5980"/>
    <s v="Unnamed ProjectPartVA TimeEntity"/>
    <n v="5"/>
    <n v="1.053005960029394"/>
    <n v="6.8670751075329169E-3"/>
    <n v="0.95"/>
    <n v="8.5265999339848627E-3"/>
    <n v="1.04349311102124"/>
    <n v="1.06204234135943"/>
    <n v="0"/>
    <n v="2.5625835973069102"/>
    <n v="5984.8"/>
    <n v="8.5265999339848627E-3"/>
    <n v="5"/>
    <n v="1"/>
  </r>
  <r>
    <x v="0"/>
    <s v="2025-04-28 16:17:49"/>
    <n v="2"/>
    <x v="0"/>
    <x v="5"/>
    <x v="0"/>
    <n v="0.248717836562871"/>
    <n v="2.9223540685108601E-2"/>
    <n v="0"/>
    <n v="4.6946977160459902"/>
    <n v="5980"/>
    <s v="Unnamed ProjectPartWait TimeEntity"/>
    <n v="5"/>
    <n v="0.25619539516265533"/>
    <n v="1.1369708255191863E-2"/>
    <n v="0.95"/>
    <n v="1.4117357410551869E-2"/>
    <n v="0.24093964154224301"/>
    <n v="0.26912984061312001"/>
    <n v="0"/>
    <n v="5.8598129949696203"/>
    <n v="5984.8"/>
    <n v="1.4117357410551869E-2"/>
    <n v="5"/>
    <n v="1"/>
  </r>
  <r>
    <x v="0"/>
    <s v="2025-04-28 16:17:49"/>
    <n v="3"/>
    <x v="0"/>
    <x v="0"/>
    <x v="0"/>
    <n v="0"/>
    <n v="0"/>
    <n v="0"/>
    <n v="0"/>
    <n v="6018"/>
    <s v="Unnamed ProjectPartNVA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3"/>
    <x v="0"/>
    <x v="1"/>
    <x v="0"/>
    <n v="0"/>
    <n v="0"/>
    <n v="0"/>
    <n v="0"/>
    <n v="6018"/>
    <s v="Unnamed ProjectPartOth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3"/>
    <x v="0"/>
    <x v="2"/>
    <x v="0"/>
    <n v="1.30873172532325"/>
    <n v="4.0823409462553403E-2"/>
    <n v="0"/>
    <n v="6.0076798290001499"/>
    <n v="6018"/>
    <s v="Unnamed ProjectPartTotal TimeEntity"/>
    <n v="5"/>
    <n v="1.3092013551920503"/>
    <n v="1.646170450893018E-2"/>
    <n v="0.95"/>
    <n v="2.0439905837807176E-2"/>
    <n v="1.28443275256349"/>
    <n v="1.3256984574734101"/>
    <n v="0"/>
    <n v="6.8530488026672201"/>
    <n v="5984.8"/>
    <n v="2.0439905837807176E-2"/>
    <n v="5"/>
    <n v="1"/>
  </r>
  <r>
    <x v="0"/>
    <s v="2025-04-28 16:17:49"/>
    <n v="3"/>
    <x v="0"/>
    <x v="3"/>
    <x v="0"/>
    <n v="0"/>
    <n v="0"/>
    <n v="0"/>
    <n v="0"/>
    <n v="6018"/>
    <s v="Unnamed ProjectPartTransf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3"/>
    <x v="0"/>
    <x v="4"/>
    <x v="0"/>
    <n v="1.0501981843421899"/>
    <n v="1.02979761460459E-2"/>
    <n v="0"/>
    <n v="2.39093992049493"/>
    <n v="6018"/>
    <s v="Unnamed ProjectPartVA TimeEntity"/>
    <n v="5"/>
    <n v="1.053005960029394"/>
    <n v="6.8670751075329169E-3"/>
    <n v="0.95"/>
    <n v="8.5265999339848627E-3"/>
    <n v="1.04349311102124"/>
    <n v="1.06204234135943"/>
    <n v="0"/>
    <n v="2.5625835973069102"/>
    <n v="5984.8"/>
    <n v="8.5265999339848627E-3"/>
    <n v="5"/>
    <n v="1"/>
  </r>
  <r>
    <x v="0"/>
    <s v="2025-04-28 16:17:49"/>
    <n v="3"/>
    <x v="0"/>
    <x v="5"/>
    <x v="0"/>
    <n v="0.25853354098105702"/>
    <n v="3.5446992207133203E-2"/>
    <n v="0"/>
    <n v="4.8832509548674397"/>
    <n v="6018"/>
    <s v="Unnamed ProjectPartWait TimeEntity"/>
    <n v="5"/>
    <n v="0.25619539516265533"/>
    <n v="1.1369708255191863E-2"/>
    <n v="0.95"/>
    <n v="1.4117357410551869E-2"/>
    <n v="0.24093964154224301"/>
    <n v="0.26912984061312001"/>
    <n v="0"/>
    <n v="5.8598129949696203"/>
    <n v="5984.8"/>
    <n v="1.4117357410551869E-2"/>
    <n v="5"/>
    <n v="1"/>
  </r>
  <r>
    <x v="0"/>
    <s v="2025-04-28 16:17:49"/>
    <n v="4"/>
    <x v="0"/>
    <x v="0"/>
    <x v="0"/>
    <n v="0"/>
    <n v="0"/>
    <n v="0"/>
    <n v="0"/>
    <n v="5975"/>
    <s v="Unnamed ProjectPartNVA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4"/>
    <x v="0"/>
    <x v="1"/>
    <x v="0"/>
    <n v="0"/>
    <n v="0"/>
    <n v="0"/>
    <n v="0"/>
    <n v="5975"/>
    <s v="Unnamed ProjectPartOth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4"/>
    <x v="0"/>
    <x v="2"/>
    <x v="0"/>
    <n v="1.3256984574734101"/>
    <n v="2.4309535633196402E-2"/>
    <n v="0"/>
    <n v="5.2171886232604301"/>
    <n v="5975"/>
    <s v="Unnamed ProjectPartTotal TimeEntity"/>
    <n v="5"/>
    <n v="1.3092013551920503"/>
    <n v="1.646170450893018E-2"/>
    <n v="0.95"/>
    <n v="2.0439905837807176E-2"/>
    <n v="1.28443275256349"/>
    <n v="1.3256984574734101"/>
    <n v="0"/>
    <n v="6.8530488026672201"/>
    <n v="5984.8"/>
    <n v="2.0439905837807176E-2"/>
    <n v="5"/>
    <n v="1"/>
  </r>
  <r>
    <x v="0"/>
    <s v="2025-04-28 16:17:49"/>
    <n v="4"/>
    <x v="0"/>
    <x v="3"/>
    <x v="0"/>
    <n v="0"/>
    <n v="0"/>
    <n v="0"/>
    <n v="0"/>
    <n v="5975"/>
    <s v="Unnamed ProjectPartTransf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4"/>
    <x v="0"/>
    <x v="4"/>
    <x v="0"/>
    <n v="1.06204234135943"/>
    <n v="8.8237698273797502E-3"/>
    <n v="0"/>
    <n v="2.54553835947263"/>
    <n v="5975"/>
    <s v="Unnamed ProjectPartVA TimeEntity"/>
    <n v="5"/>
    <n v="1.053005960029394"/>
    <n v="6.8670751075329169E-3"/>
    <n v="0.95"/>
    <n v="8.5265999339848627E-3"/>
    <n v="1.04349311102124"/>
    <n v="1.06204234135943"/>
    <n v="0"/>
    <n v="2.5625835973069102"/>
    <n v="5984.8"/>
    <n v="8.5265999339848627E-3"/>
    <n v="5"/>
    <n v="1"/>
  </r>
  <r>
    <x v="0"/>
    <s v="2025-04-28 16:17:49"/>
    <n v="4"/>
    <x v="0"/>
    <x v="5"/>
    <x v="0"/>
    <n v="0.26365611611398598"/>
    <n v="2.05109194492125E-2"/>
    <n v="0"/>
    <n v="4.2212959562430097"/>
    <n v="5975"/>
    <s v="Unnamed ProjectPartWait TimeEntity"/>
    <n v="5"/>
    <n v="0.25619539516265533"/>
    <n v="1.1369708255191863E-2"/>
    <n v="0.95"/>
    <n v="1.4117357410551869E-2"/>
    <n v="0.24093964154224301"/>
    <n v="0.26912984061312001"/>
    <n v="0"/>
    <n v="5.8598129949696203"/>
    <n v="5984.8"/>
    <n v="1.4117357410551869E-2"/>
    <n v="5"/>
    <n v="1"/>
  </r>
  <r>
    <x v="0"/>
    <s v="2025-04-28 16:17:49"/>
    <n v="5"/>
    <x v="0"/>
    <x v="0"/>
    <x v="0"/>
    <n v="0"/>
    <n v="0"/>
    <n v="0"/>
    <n v="0"/>
    <n v="5970"/>
    <s v="Unnamed ProjectPartNVA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5"/>
    <x v="0"/>
    <x v="1"/>
    <x v="0"/>
    <n v="0"/>
    <n v="0"/>
    <n v="0"/>
    <n v="0"/>
    <n v="5970"/>
    <s v="Unnamed ProjectPartOth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5"/>
    <x v="0"/>
    <x v="2"/>
    <x v="0"/>
    <n v="1.28443275256349"/>
    <n v="4.0767714125470499E-2"/>
    <n v="0"/>
    <n v="4.8473286393964399"/>
    <n v="5970"/>
    <s v="Unnamed ProjectPartTotal TimeEntity"/>
    <n v="5"/>
    <n v="1.3092013551920503"/>
    <n v="1.646170450893018E-2"/>
    <n v="0.95"/>
    <n v="2.0439905837807176E-2"/>
    <n v="1.28443275256349"/>
    <n v="1.3256984574734101"/>
    <n v="0"/>
    <n v="6.8530488026672201"/>
    <n v="5984.8"/>
    <n v="2.0439905837807176E-2"/>
    <n v="5"/>
    <n v="1"/>
  </r>
  <r>
    <x v="0"/>
    <s v="2025-04-28 16:17:49"/>
    <n v="5"/>
    <x v="0"/>
    <x v="3"/>
    <x v="0"/>
    <n v="0"/>
    <n v="0"/>
    <n v="0"/>
    <n v="0"/>
    <n v="5970"/>
    <s v="Unnamed ProjectPartTransfer TimeEntity"/>
    <n v="5"/>
    <n v="0"/>
    <n v="0"/>
    <n v="0.95"/>
    <n v="0"/>
    <n v="0"/>
    <n v="0"/>
    <n v="0"/>
    <n v="0"/>
    <n v="5984.8"/>
    <n v="0"/>
    <n v="5"/>
    <n v="1"/>
  </r>
  <r>
    <x v="0"/>
    <s v="2025-04-28 16:17:49"/>
    <n v="5"/>
    <x v="0"/>
    <x v="4"/>
    <x v="0"/>
    <n v="1.04349311102124"/>
    <n v="1.0853495066809399E-2"/>
    <n v="0"/>
    <n v="2.53341487231864"/>
    <n v="5970"/>
    <s v="Unnamed ProjectPartVA TimeEntity"/>
    <n v="5"/>
    <n v="1.053005960029394"/>
    <n v="6.8670751075329169E-3"/>
    <n v="0.95"/>
    <n v="8.5265999339848627E-3"/>
    <n v="1.04349311102124"/>
    <n v="1.06204234135943"/>
    <n v="0"/>
    <n v="2.5625835973069102"/>
    <n v="5984.8"/>
    <n v="8.5265999339848627E-3"/>
    <n v="5"/>
    <n v="1"/>
  </r>
  <r>
    <x v="0"/>
    <s v="2025-04-28 16:17:49"/>
    <n v="5"/>
    <x v="0"/>
    <x v="5"/>
    <x v="0"/>
    <n v="0.24093964154224301"/>
    <n v="3.2993980564979097E-2"/>
    <n v="0"/>
    <n v="3.8074911539515601"/>
    <n v="5970"/>
    <s v="Unnamed ProjectPartWait TimeEntity"/>
    <n v="5"/>
    <n v="0.25619539516265533"/>
    <n v="1.1369708255191863E-2"/>
    <n v="0.95"/>
    <n v="1.4117357410551869E-2"/>
    <n v="0.24093964154224301"/>
    <n v="0.26912984061312001"/>
    <n v="0"/>
    <n v="5.8598129949696203"/>
    <n v="5984.8"/>
    <n v="1.4117357410551869E-2"/>
    <n v="5"/>
    <n v="1"/>
  </r>
  <r>
    <x v="0"/>
    <s v="2025-04-28 16:17:49"/>
    <n v="1"/>
    <x v="1"/>
    <x v="6"/>
    <x v="1"/>
    <n v="0.26908485066985499"/>
    <n v="3.65095326523995E-2"/>
    <n v="0"/>
    <n v="5.8598129949696203"/>
    <n v="5982"/>
    <s v="Unnamed ProjectProcess 3.QueueWaiting TimeQueue"/>
    <n v="5"/>
    <n v="0.25617671023290384"/>
    <n v="1.1343829524395213E-2"/>
    <n v="0.95"/>
    <n v="1.408522472220246E-2"/>
    <n v="0.24093964154224301"/>
    <n v="0.26908485066985499"/>
    <n v="0"/>
    <n v="5.8598129949696203"/>
    <n v="5985"/>
    <n v="1.408522472220246E-2"/>
    <n v="5"/>
    <n v="1"/>
  </r>
  <r>
    <x v="0"/>
    <s v="2025-04-28 16:17:49"/>
    <n v="2"/>
    <x v="1"/>
    <x v="6"/>
    <x v="1"/>
    <n v="0.248743951903941"/>
    <n v="2.9049801017670601E-2"/>
    <n v="0"/>
    <n v="4.6946977160459902"/>
    <n v="5979"/>
    <s v="Unnamed ProjectProcess 3.QueueWaiting TimeQueue"/>
    <n v="5"/>
    <n v="0.25617671023290384"/>
    <n v="1.1343829524395213E-2"/>
    <n v="0.95"/>
    <n v="1.408522472220246E-2"/>
    <n v="0.24093964154224301"/>
    <n v="0.26908485066985499"/>
    <n v="0"/>
    <n v="5.8598129949696203"/>
    <n v="5985"/>
    <n v="1.408522472220246E-2"/>
    <n v="5"/>
    <n v="1"/>
  </r>
  <r>
    <x v="0"/>
    <s v="2025-04-28 16:17:49"/>
    <n v="3"/>
    <x v="1"/>
    <x v="6"/>
    <x v="1"/>
    <n v="0.25850311009716398"/>
    <n v="3.5242407537124001E-2"/>
    <n v="0"/>
    <n v="4.8832509548674397"/>
    <n v="6018"/>
    <s v="Unnamed ProjectProcess 3.QueueWaiting TimeQueue"/>
    <n v="5"/>
    <n v="0.25617671023290384"/>
    <n v="1.1343829524395213E-2"/>
    <n v="0.95"/>
    <n v="1.408522472220246E-2"/>
    <n v="0.24093964154224301"/>
    <n v="0.26908485066985499"/>
    <n v="0"/>
    <n v="5.8598129949696203"/>
    <n v="5985"/>
    <n v="1.408522472220246E-2"/>
    <n v="5"/>
    <n v="1"/>
  </r>
  <r>
    <x v="0"/>
    <s v="2025-04-28 16:17:49"/>
    <n v="4"/>
    <x v="1"/>
    <x v="6"/>
    <x v="1"/>
    <n v="0.26361199695131599"/>
    <n v="2.05109194492125E-2"/>
    <n v="0"/>
    <n v="4.2212959562430097"/>
    <n v="5976"/>
    <s v="Unnamed ProjectProcess 3.QueueWaiting TimeQueue"/>
    <n v="5"/>
    <n v="0.25617671023290384"/>
    <n v="1.1343829524395213E-2"/>
    <n v="0.95"/>
    <n v="1.408522472220246E-2"/>
    <n v="0.24093964154224301"/>
    <n v="0.26908485066985499"/>
    <n v="0"/>
    <n v="5.8598129949696203"/>
    <n v="5985"/>
    <n v="1.408522472220246E-2"/>
    <n v="5"/>
    <n v="1"/>
  </r>
  <r>
    <x v="0"/>
    <s v="2025-04-28 16:17:49"/>
    <n v="5"/>
    <x v="1"/>
    <x v="6"/>
    <x v="1"/>
    <n v="0.24093964154224301"/>
    <n v="3.32788153227404E-2"/>
    <n v="0"/>
    <n v="3.8074911539515601"/>
    <n v="5970"/>
    <s v="Unnamed ProjectProcess 3.QueueWaiting TimeQueue"/>
    <n v="5"/>
    <n v="0.25617671023290384"/>
    <n v="1.1343829524395213E-2"/>
    <n v="0.95"/>
    <n v="1.408522472220246E-2"/>
    <n v="0.24093964154224301"/>
    <n v="0.26908485066985499"/>
    <n v="0"/>
    <n v="5.8598129949696203"/>
    <n v="5985"/>
    <n v="1.408522472220246E-2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17:49"/>
    <n v="1"/>
    <x v="0"/>
    <x v="0"/>
    <x v="0"/>
    <n v="5982"/>
    <n v="0"/>
    <s v="Unnamed ProjectPart.NumberInNumber InEntity"/>
    <n v="5"/>
    <n v="5984.6"/>
    <n v="18.105247858010671"/>
    <n v="0.95"/>
    <n v="22.480634443847659"/>
    <n v="5970"/>
    <n v="6016"/>
  </r>
  <r>
    <x v="0"/>
    <s v="2025-04-28 16:17:49"/>
    <n v="1"/>
    <x v="1"/>
    <x v="1"/>
    <x v="0"/>
    <n v="5981"/>
    <n v="0"/>
    <s v="Unnamed ProjectPart.NumberOutNumber OutEntity"/>
    <n v="5"/>
    <n v="5984.8"/>
    <n v="19.070920271449936"/>
    <n v="0.95"/>
    <n v="23.679675113673735"/>
    <n v="5970"/>
    <n v="6018"/>
  </r>
  <r>
    <x v="0"/>
    <s v="2025-04-28 16:17:49"/>
    <n v="1"/>
    <x v="2"/>
    <x v="2"/>
    <x v="1"/>
    <n v="5982"/>
    <n v="0"/>
    <s v="Unnamed ProjectResource 1.NumberSeizedTotal Number SeizedResource"/>
    <n v="5"/>
    <n v="5985"/>
    <n v="18.973665961010276"/>
    <n v="0.95"/>
    <n v="23.55891793773068"/>
    <n v="5970"/>
    <n v="6018"/>
  </r>
  <r>
    <x v="0"/>
    <s v="2025-04-28 16:17:49"/>
    <n v="1"/>
    <x v="3"/>
    <x v="3"/>
    <x v="1"/>
    <n v="0.70016640989382395"/>
    <n v="0"/>
    <s v="Unnamed ProjectResource 1.ScheduledUtilizationScheduled UtilizationResource"/>
    <n v="5"/>
    <n v="0.70025856039642087"/>
    <n v="4.8194835670028443E-3"/>
    <n v="0.95"/>
    <n v="5.9841792350820893E-3"/>
    <n v="0.69225903515128395"/>
    <n v="0.70509920302947404"/>
  </r>
  <r>
    <x v="0"/>
    <s v="2025-04-28 16:17:49"/>
    <n v="1"/>
    <x v="4"/>
    <x v="1"/>
    <x v="2"/>
    <n v="5981"/>
    <n v="0"/>
    <s v="Unnamed ProjectSystem.NumberOutNumber OutSystem"/>
    <n v="5"/>
    <n v="5984.8"/>
    <n v="19.070920271449936"/>
    <n v="0.95"/>
    <n v="23.679675113673735"/>
    <n v="5970"/>
    <n v="6018"/>
  </r>
  <r>
    <x v="0"/>
    <s v="2025-04-28 16:17:49"/>
    <n v="2"/>
    <x v="0"/>
    <x v="0"/>
    <x v="0"/>
    <n v="5979"/>
    <n v="0"/>
    <s v="Unnamed ProjectPart.NumberInNumber InEntity"/>
    <n v="5"/>
    <n v="5984.6"/>
    <n v="18.105247858010671"/>
    <n v="0.95"/>
    <n v="22.480634443847659"/>
    <n v="5970"/>
    <n v="6016"/>
  </r>
  <r>
    <x v="0"/>
    <s v="2025-04-28 16:17:49"/>
    <n v="2"/>
    <x v="1"/>
    <x v="1"/>
    <x v="0"/>
    <n v="5980"/>
    <n v="0"/>
    <s v="Unnamed ProjectPart.NumberOutNumber OutEntity"/>
    <n v="5"/>
    <n v="5984.8"/>
    <n v="19.070920271449936"/>
    <n v="0.95"/>
    <n v="23.679675113673735"/>
    <n v="5970"/>
    <n v="6018"/>
  </r>
  <r>
    <x v="0"/>
    <s v="2025-04-28 16:17:49"/>
    <n v="2"/>
    <x v="2"/>
    <x v="2"/>
    <x v="1"/>
    <n v="5979"/>
    <n v="0"/>
    <s v="Unnamed ProjectResource 1.NumberSeizedTotal Number SeizedResource"/>
    <n v="5"/>
    <n v="5985"/>
    <n v="18.973665961010276"/>
    <n v="0.95"/>
    <n v="23.55891793773068"/>
    <n v="5970"/>
    <n v="6018"/>
  </r>
  <r>
    <x v="0"/>
    <s v="2025-04-28 16:17:49"/>
    <n v="2"/>
    <x v="3"/>
    <x v="3"/>
    <x v="1"/>
    <n v="0.70157394610200596"/>
    <n v="0"/>
    <s v="Unnamed ProjectResource 1.ScheduledUtilizationScheduled UtilizationResource"/>
    <n v="5"/>
    <n v="0.70025856039642087"/>
    <n v="4.8194835670028443E-3"/>
    <n v="0.95"/>
    <n v="5.9841792350820893E-3"/>
    <n v="0.69225903515128395"/>
    <n v="0.70509920302947404"/>
  </r>
  <r>
    <x v="0"/>
    <s v="2025-04-28 16:17:49"/>
    <n v="2"/>
    <x v="4"/>
    <x v="1"/>
    <x v="2"/>
    <n v="5980"/>
    <n v="0"/>
    <s v="Unnamed ProjectSystem.NumberOutNumber OutSystem"/>
    <n v="5"/>
    <n v="5984.8"/>
    <n v="19.070920271449936"/>
    <n v="0.95"/>
    <n v="23.679675113673735"/>
    <n v="5970"/>
    <n v="6018"/>
  </r>
  <r>
    <x v="0"/>
    <s v="2025-04-28 16:17:49"/>
    <n v="3"/>
    <x v="0"/>
    <x v="0"/>
    <x v="0"/>
    <n v="6016"/>
    <n v="0"/>
    <s v="Unnamed ProjectPart.NumberInNumber InEntity"/>
    <n v="5"/>
    <n v="5984.6"/>
    <n v="18.105247858010671"/>
    <n v="0.95"/>
    <n v="22.480634443847659"/>
    <n v="5970"/>
    <n v="6016"/>
  </r>
  <r>
    <x v="0"/>
    <s v="2025-04-28 16:17:49"/>
    <n v="3"/>
    <x v="1"/>
    <x v="1"/>
    <x v="0"/>
    <n v="6018"/>
    <n v="0"/>
    <s v="Unnamed ProjectPart.NumberOutNumber OutEntity"/>
    <n v="5"/>
    <n v="5984.8"/>
    <n v="19.070920271449936"/>
    <n v="0.95"/>
    <n v="23.679675113673735"/>
    <n v="5970"/>
    <n v="6018"/>
  </r>
  <r>
    <x v="0"/>
    <s v="2025-04-28 16:17:49"/>
    <n v="3"/>
    <x v="2"/>
    <x v="2"/>
    <x v="1"/>
    <n v="6018"/>
    <n v="0"/>
    <s v="Unnamed ProjectResource 1.NumberSeizedTotal Number SeizedResource"/>
    <n v="5"/>
    <n v="5985"/>
    <n v="18.973665961010276"/>
    <n v="0.95"/>
    <n v="23.55891793773068"/>
    <n v="5970"/>
    <n v="6018"/>
  </r>
  <r>
    <x v="0"/>
    <s v="2025-04-28 16:17:49"/>
    <n v="3"/>
    <x v="3"/>
    <x v="3"/>
    <x v="1"/>
    <n v="0.702194207805517"/>
    <n v="0"/>
    <s v="Unnamed ProjectResource 1.ScheduledUtilizationScheduled UtilizationResource"/>
    <n v="5"/>
    <n v="0.70025856039642087"/>
    <n v="4.8194835670028443E-3"/>
    <n v="0.95"/>
    <n v="5.9841792350820893E-3"/>
    <n v="0.69225903515128395"/>
    <n v="0.70509920302947404"/>
  </r>
  <r>
    <x v="0"/>
    <s v="2025-04-28 16:17:49"/>
    <n v="3"/>
    <x v="4"/>
    <x v="1"/>
    <x v="2"/>
    <n v="6018"/>
    <n v="0"/>
    <s v="Unnamed ProjectSystem.NumberOutNumber OutSystem"/>
    <n v="5"/>
    <n v="5984.8"/>
    <n v="19.070920271449936"/>
    <n v="0.95"/>
    <n v="23.679675113673735"/>
    <n v="5970"/>
    <n v="6018"/>
  </r>
  <r>
    <x v="0"/>
    <s v="2025-04-28 16:17:49"/>
    <n v="4"/>
    <x v="0"/>
    <x v="0"/>
    <x v="0"/>
    <n v="5976"/>
    <n v="0"/>
    <s v="Unnamed ProjectPart.NumberInNumber InEntity"/>
    <n v="5"/>
    <n v="5984.6"/>
    <n v="18.105247858010671"/>
    <n v="0.95"/>
    <n v="22.480634443847659"/>
    <n v="5970"/>
    <n v="6016"/>
  </r>
  <r>
    <x v="0"/>
    <s v="2025-04-28 16:17:49"/>
    <n v="4"/>
    <x v="1"/>
    <x v="1"/>
    <x v="0"/>
    <n v="5975"/>
    <n v="0"/>
    <s v="Unnamed ProjectPart.NumberOutNumber OutEntity"/>
    <n v="5"/>
    <n v="5984.8"/>
    <n v="19.070920271449936"/>
    <n v="0.95"/>
    <n v="23.679675113673735"/>
    <n v="5970"/>
    <n v="6018"/>
  </r>
  <r>
    <x v="0"/>
    <s v="2025-04-28 16:17:49"/>
    <n v="4"/>
    <x v="2"/>
    <x v="2"/>
    <x v="1"/>
    <n v="5976"/>
    <n v="0"/>
    <s v="Unnamed ProjectResource 1.NumberSeizedTotal Number SeizedResource"/>
    <n v="5"/>
    <n v="5985"/>
    <n v="18.973665961010276"/>
    <n v="0.95"/>
    <n v="23.55891793773068"/>
    <n v="5970"/>
    <n v="6018"/>
  </r>
  <r>
    <x v="0"/>
    <s v="2025-04-28 16:17:49"/>
    <n v="4"/>
    <x v="3"/>
    <x v="3"/>
    <x v="1"/>
    <n v="0.70509920302947404"/>
    <n v="0"/>
    <s v="Unnamed ProjectResource 1.ScheduledUtilizationScheduled UtilizationResource"/>
    <n v="5"/>
    <n v="0.70025856039642087"/>
    <n v="4.8194835670028443E-3"/>
    <n v="0.95"/>
    <n v="5.9841792350820893E-3"/>
    <n v="0.69225903515128395"/>
    <n v="0.70509920302947404"/>
  </r>
  <r>
    <x v="0"/>
    <s v="2025-04-28 16:17:49"/>
    <n v="4"/>
    <x v="4"/>
    <x v="1"/>
    <x v="2"/>
    <n v="5975"/>
    <n v="0"/>
    <s v="Unnamed ProjectSystem.NumberOutNumber OutSystem"/>
    <n v="5"/>
    <n v="5984.8"/>
    <n v="19.070920271449936"/>
    <n v="0.95"/>
    <n v="23.679675113673735"/>
    <n v="5970"/>
    <n v="6018"/>
  </r>
  <r>
    <x v="0"/>
    <s v="2025-04-28 16:17:49"/>
    <n v="5"/>
    <x v="0"/>
    <x v="0"/>
    <x v="0"/>
    <n v="5970"/>
    <n v="0"/>
    <s v="Unnamed ProjectPart.NumberInNumber InEntity"/>
    <n v="5"/>
    <n v="5984.6"/>
    <n v="18.105247858010671"/>
    <n v="0.95"/>
    <n v="22.480634443847659"/>
    <n v="5970"/>
    <n v="6016"/>
  </r>
  <r>
    <x v="0"/>
    <s v="2025-04-28 16:17:49"/>
    <n v="5"/>
    <x v="1"/>
    <x v="1"/>
    <x v="0"/>
    <n v="5970"/>
    <n v="0"/>
    <s v="Unnamed ProjectPart.NumberOutNumber OutEntity"/>
    <n v="5"/>
    <n v="5984.8"/>
    <n v="19.070920271449936"/>
    <n v="0.95"/>
    <n v="23.679675113673735"/>
    <n v="5970"/>
    <n v="6018"/>
  </r>
  <r>
    <x v="0"/>
    <s v="2025-04-28 16:17:49"/>
    <n v="5"/>
    <x v="2"/>
    <x v="2"/>
    <x v="1"/>
    <n v="5970"/>
    <n v="0"/>
    <s v="Unnamed ProjectResource 1.NumberSeizedTotal Number SeizedResource"/>
    <n v="5"/>
    <n v="5985"/>
    <n v="18.973665961010276"/>
    <n v="0.95"/>
    <n v="23.55891793773068"/>
    <n v="5970"/>
    <n v="6018"/>
  </r>
  <r>
    <x v="0"/>
    <s v="2025-04-28 16:17:49"/>
    <n v="5"/>
    <x v="3"/>
    <x v="3"/>
    <x v="1"/>
    <n v="0.69225903515128395"/>
    <n v="0"/>
    <s v="Unnamed ProjectResource 1.ScheduledUtilizationScheduled UtilizationResource"/>
    <n v="5"/>
    <n v="0.70025856039642087"/>
    <n v="4.8194835670028443E-3"/>
    <n v="0.95"/>
    <n v="5.9841792350820893E-3"/>
    <n v="0.69225903515128395"/>
    <n v="0.70509920302947404"/>
  </r>
  <r>
    <x v="0"/>
    <s v="2025-04-28 16:17:49"/>
    <n v="5"/>
    <x v="4"/>
    <x v="1"/>
    <x v="2"/>
    <n v="5970"/>
    <n v="0"/>
    <s v="Unnamed ProjectSystem.NumberOutNumber OutSystem"/>
    <n v="5"/>
    <n v="5984.8"/>
    <n v="19.070920271449936"/>
    <n v="0.95"/>
    <n v="23.679675113673735"/>
    <n v="5970"/>
    <n v="60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17:49"/>
    <n v="1"/>
    <x v="0"/>
    <x v="0"/>
    <x v="0"/>
    <n v="0.87901814063905204"/>
    <n v="2.8810570010399401E-2"/>
    <n v="0"/>
    <n v="6"/>
    <n v="1"/>
    <n v="0"/>
    <s v="Unnamed ProjectPartWIPEntity"/>
    <n v="5"/>
    <n v="0.87058569104618844"/>
    <n v="1.1588921672775905E-2"/>
    <n v="0.95"/>
    <n v="1.4389546819089181E-2"/>
    <n v="0.85208233070763995"/>
    <n v="0.88013756900514695"/>
    <n v="1.4389546819089181E-2"/>
  </r>
  <r>
    <x v="0"/>
    <s v="2025-04-28 16:17:49"/>
    <n v="1"/>
    <x v="1"/>
    <x v="1"/>
    <x v="1"/>
    <n v="0.17885173074523"/>
    <n v="2.3240797721461901E-2"/>
    <n v="0"/>
    <n v="5"/>
    <n v="0"/>
    <n v="0"/>
    <s v="Unnamed ProjectProcess 3.QueueNumber WaitingQueue"/>
    <n v="5"/>
    <n v="0.17032713064976762"/>
    <n v="7.6890886828603535E-3"/>
    <n v="0.95"/>
    <n v="9.5472645965037004E-3"/>
    <n v="0.15982329555635399"/>
    <n v="0.17885173074523"/>
    <n v="9.5472645965037004E-3"/>
  </r>
  <r>
    <x v="0"/>
    <s v="2025-04-28 16:17:49"/>
    <n v="1"/>
    <x v="2"/>
    <x v="2"/>
    <x v="2"/>
    <n v="0.70016640989382395"/>
    <n v="8.9774412321063004E-3"/>
    <n v="0"/>
    <n v="1"/>
    <n v="1"/>
    <n v="0"/>
    <s v="Unnamed ProjectResource 1Instantaneous Utilization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1"/>
    <x v="2"/>
    <x v="3"/>
    <x v="2"/>
    <n v="0.70016640989382395"/>
    <n v="8.9774412321063004E-3"/>
    <n v="0"/>
    <n v="1"/>
    <n v="1"/>
    <n v="0"/>
    <s v="Unnamed ProjectResource 1Number Busy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1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7:49"/>
    <n v="2"/>
    <x v="0"/>
    <x v="0"/>
    <x v="0"/>
    <n v="0.86682284481685701"/>
    <n v="3E+20"/>
    <n v="0"/>
    <n v="5"/>
    <n v="0"/>
    <n v="0"/>
    <s v="Unnamed ProjectPartWIPEntity"/>
    <n v="5"/>
    <n v="0.87058569104618844"/>
    <n v="1.1588921672775905E-2"/>
    <n v="0.95"/>
    <n v="1.4389546819089181E-2"/>
    <n v="0.85208233070763995"/>
    <n v="0.88013756900514695"/>
    <n v="1.4389546819089181E-2"/>
  </r>
  <r>
    <x v="0"/>
    <s v="2025-04-28 16:17:49"/>
    <n v="2"/>
    <x v="1"/>
    <x v="1"/>
    <x v="1"/>
    <n v="0.16524889871485099"/>
    <n v="2.1309121582750602E-2"/>
    <n v="0"/>
    <n v="4"/>
    <n v="0"/>
    <n v="0"/>
    <s v="Unnamed ProjectProcess 3.QueueNumber WaitingQueue"/>
    <n v="5"/>
    <n v="0.17032713064976762"/>
    <n v="7.6890886828603535E-3"/>
    <n v="0.95"/>
    <n v="9.5472645965037004E-3"/>
    <n v="0.15982329555635399"/>
    <n v="0.17885173074523"/>
    <n v="9.5472645965037004E-3"/>
  </r>
  <r>
    <x v="0"/>
    <s v="2025-04-28 16:17:49"/>
    <n v="2"/>
    <x v="2"/>
    <x v="2"/>
    <x v="2"/>
    <n v="0.70157394610200596"/>
    <n v="9.9528192372239904E-3"/>
    <n v="0"/>
    <n v="1"/>
    <n v="0"/>
    <n v="0"/>
    <s v="Unnamed ProjectResource 1Instantaneous Utilization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2"/>
    <x v="2"/>
    <x v="3"/>
    <x v="2"/>
    <n v="0.70157394610200596"/>
    <n v="9.9528192372239904E-3"/>
    <n v="0"/>
    <n v="1"/>
    <n v="0"/>
    <n v="0"/>
    <s v="Unnamed ProjectResource 1Number Busy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2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7:49"/>
    <n v="3"/>
    <x v="0"/>
    <x v="0"/>
    <x v="0"/>
    <n v="0.87486757006224602"/>
    <n v="2.9158253246251601E-2"/>
    <n v="0"/>
    <n v="5"/>
    <n v="1"/>
    <n v="0"/>
    <s v="Unnamed ProjectPartWIPEntity"/>
    <n v="5"/>
    <n v="0.87058569104618844"/>
    <n v="1.1588921672775905E-2"/>
    <n v="0.95"/>
    <n v="1.4389546819089181E-2"/>
    <n v="0.85208233070763995"/>
    <n v="0.88013756900514695"/>
    <n v="1.4389546819089181E-2"/>
  </r>
  <r>
    <x v="0"/>
    <s v="2025-04-28 16:17:49"/>
    <n v="3"/>
    <x v="1"/>
    <x v="1"/>
    <x v="1"/>
    <n v="0.172673362256729"/>
    <n v="2.2666664713898398E-2"/>
    <n v="0"/>
    <n v="4"/>
    <n v="0"/>
    <n v="0"/>
    <s v="Unnamed ProjectProcess 3.QueueNumber WaitingQueue"/>
    <n v="5"/>
    <n v="0.17032713064976762"/>
    <n v="7.6890886828603535E-3"/>
    <n v="0.95"/>
    <n v="9.5472645965037004E-3"/>
    <n v="0.15982329555635399"/>
    <n v="0.17885173074523"/>
    <n v="9.5472645965037004E-3"/>
  </r>
  <r>
    <x v="0"/>
    <s v="2025-04-28 16:17:49"/>
    <n v="3"/>
    <x v="2"/>
    <x v="2"/>
    <x v="2"/>
    <n v="0.702194207805517"/>
    <n v="8.7529547435898098E-3"/>
    <n v="0"/>
    <n v="1"/>
    <n v="1"/>
    <n v="0"/>
    <s v="Unnamed ProjectResource 1Instantaneous Utilization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3"/>
    <x v="2"/>
    <x v="3"/>
    <x v="2"/>
    <n v="0.702194207805517"/>
    <n v="8.7529547435898098E-3"/>
    <n v="0"/>
    <n v="1"/>
    <n v="1"/>
    <n v="0"/>
    <s v="Unnamed ProjectResource 1Number Busy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3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7:49"/>
    <n v="4"/>
    <x v="0"/>
    <x v="0"/>
    <x v="0"/>
    <n v="0.88013756900514695"/>
    <n v="2.41629701121957E-2"/>
    <n v="0"/>
    <n v="5"/>
    <n v="1"/>
    <n v="0"/>
    <s v="Unnamed ProjectPartWIPEntity"/>
    <n v="5"/>
    <n v="0.87058569104618844"/>
    <n v="1.1588921672775905E-2"/>
    <n v="0.95"/>
    <n v="1.4389546819089181E-2"/>
    <n v="0.85208233070763995"/>
    <n v="0.88013756900514695"/>
    <n v="1.4389546819089181E-2"/>
  </r>
  <r>
    <x v="0"/>
    <s v="2025-04-28 16:17:49"/>
    <n v="4"/>
    <x v="1"/>
    <x v="1"/>
    <x v="1"/>
    <n v="0.17503836597567399"/>
    <n v="1.7093299513044401E-2"/>
    <n v="0"/>
    <n v="4"/>
    <n v="0"/>
    <n v="0"/>
    <s v="Unnamed ProjectProcess 3.QueueNumber WaitingQueue"/>
    <n v="5"/>
    <n v="0.17032713064976762"/>
    <n v="7.6890886828603535E-3"/>
    <n v="0.95"/>
    <n v="9.5472645965037004E-3"/>
    <n v="0.15982329555635399"/>
    <n v="0.17885173074523"/>
    <n v="9.5472645965037004E-3"/>
  </r>
  <r>
    <x v="0"/>
    <s v="2025-04-28 16:17:49"/>
    <n v="4"/>
    <x v="2"/>
    <x v="2"/>
    <x v="2"/>
    <n v="0.70509920302947404"/>
    <n v="9.3618872400117892E-3"/>
    <n v="0"/>
    <n v="1"/>
    <n v="1"/>
    <n v="0"/>
    <s v="Unnamed ProjectResource 1Instantaneous Utilization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4"/>
    <x v="2"/>
    <x v="3"/>
    <x v="2"/>
    <n v="0.70509920302947404"/>
    <n v="9.3618872400117892E-3"/>
    <n v="0"/>
    <n v="1"/>
    <n v="1"/>
    <n v="0"/>
    <s v="Unnamed ProjectResource 1Number Busy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4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7:49"/>
    <n v="5"/>
    <x v="0"/>
    <x v="0"/>
    <x v="0"/>
    <n v="0.85208233070763995"/>
    <n v="3.2373433378021899E-2"/>
    <n v="0"/>
    <n v="4"/>
    <n v="1"/>
    <n v="0"/>
    <s v="Unnamed ProjectPartWIPEntity"/>
    <n v="5"/>
    <n v="0.87058569104618844"/>
    <n v="1.1588921672775905E-2"/>
    <n v="0.95"/>
    <n v="1.4389546819089181E-2"/>
    <n v="0.85208233070763995"/>
    <n v="0.88013756900514695"/>
    <n v="1.4389546819089181E-2"/>
  </r>
  <r>
    <x v="0"/>
    <s v="2025-04-28 16:17:49"/>
    <n v="5"/>
    <x v="1"/>
    <x v="1"/>
    <x v="1"/>
    <n v="0.15982329555635399"/>
    <n v="2.29557661980925E-2"/>
    <n v="0"/>
    <n v="3"/>
    <n v="0"/>
    <n v="0"/>
    <s v="Unnamed ProjectProcess 3.QueueNumber WaitingQueue"/>
    <n v="5"/>
    <n v="0.17032713064976762"/>
    <n v="7.6890886828603535E-3"/>
    <n v="0.95"/>
    <n v="9.5472645965037004E-3"/>
    <n v="0.15982329555635399"/>
    <n v="0.17885173074523"/>
    <n v="9.5472645965037004E-3"/>
  </r>
  <r>
    <x v="0"/>
    <s v="2025-04-28 16:17:49"/>
    <n v="5"/>
    <x v="2"/>
    <x v="2"/>
    <x v="2"/>
    <n v="0.69225903515128395"/>
    <n v="1.10815658644165E-2"/>
    <n v="0"/>
    <n v="1"/>
    <n v="1"/>
    <n v="0"/>
    <s v="Unnamed ProjectResource 1Instantaneous Utilization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5"/>
    <x v="2"/>
    <x v="3"/>
    <x v="2"/>
    <n v="0.69225903515128395"/>
    <n v="1.10815658644165E-2"/>
    <n v="0"/>
    <n v="1"/>
    <n v="1"/>
    <n v="0"/>
    <s v="Unnamed ProjectResource 1Number BusyResource"/>
    <n v="5"/>
    <n v="0.70025856039642087"/>
    <n v="4.8194835670028443E-3"/>
    <n v="0.95"/>
    <n v="5.9841792350820893E-3"/>
    <n v="0.69225903515128395"/>
    <n v="0.70509920302947404"/>
    <n v="5.9841792350820893E-3"/>
  </r>
  <r>
    <x v="0"/>
    <s v="2025-04-28 16:17:49"/>
    <n v="5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20"/>
        <item x="4"/>
        <item m="1" x="62"/>
        <item m="1" x="49"/>
        <item m="1" x="66"/>
        <item m="1" x="51"/>
        <item m="1" x="67"/>
        <item m="1" x="74"/>
        <item m="1" x="44"/>
        <item m="1" x="13"/>
        <item m="1" x="60"/>
        <item m="1" x="50"/>
        <item m="1" x="48"/>
        <item m="1" x="16"/>
        <item m="1" x="58"/>
        <item m="1" x="24"/>
        <item m="1" x="59"/>
        <item m="1" x="25"/>
        <item m="1" x="57"/>
        <item m="1" x="77"/>
        <item m="1" x="19"/>
        <item m="1" x="80"/>
        <item m="1" x="46"/>
        <item m="1" x="14"/>
        <item m="1" x="75"/>
        <item m="1" x="70"/>
        <item m="1" x="47"/>
        <item m="1" x="15"/>
        <item m="1" x="76"/>
        <item m="1" x="71"/>
        <item m="1" x="10"/>
        <item m="1" x="43"/>
        <item m="1" x="27"/>
        <item m="1" x="18"/>
        <item m="1" x="68"/>
        <item m="1" x="39"/>
        <item m="1" x="69"/>
        <item m="1" x="40"/>
        <item m="1" x="26"/>
        <item m="1" x="22"/>
        <item x="2"/>
        <item x="3"/>
        <item m="1" x="79"/>
        <item m="1" x="72"/>
        <item m="1" x="23"/>
        <item m="1" x="21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5"/>
        <item m="1" x="17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0"/>
        <item x="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49"/>
      <x v="3"/>
      <x v="1"/>
    </i>
    <i r="1">
      <x v="50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x="2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93"/>
      <x/>
      <x v="2"/>
    </i>
    <i r="2">
      <x v="1"/>
      <x v="2"/>
    </i>
    <i r="2">
      <x v="2"/>
      <x v="2"/>
    </i>
    <i r="1">
      <x v="124"/>
      <x v="4"/>
      <x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5984.8</v>
      </c>
      <c r="O3" t="s">
        <v>66</v>
      </c>
      <c r="P3" t="s">
        <v>83</v>
      </c>
      <c r="Q3" t="s">
        <v>84</v>
      </c>
      <c r="R3" t="s">
        <v>85</v>
      </c>
      <c r="S3" s="5">
        <v>0.70025856039642087</v>
      </c>
      <c r="T3" s="5">
        <v>5.9841792350820893E-3</v>
      </c>
      <c r="U3" s="5">
        <v>4.8194835670028443E-3</v>
      </c>
      <c r="V3" s="5">
        <v>0.69225903515128395</v>
      </c>
      <c r="W3" s="5">
        <v>0.70509920302947404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5984.8</v>
      </c>
      <c r="AP3" s="5">
        <v>23.679675113673735</v>
      </c>
      <c r="AQ3" s="5">
        <v>19.070920271449936</v>
      </c>
      <c r="AR3" s="5">
        <v>5970</v>
      </c>
      <c r="AS3" s="5">
        <v>6018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5984.8</v>
      </c>
      <c r="Q4" t="s">
        <v>86</v>
      </c>
      <c r="R4" t="s">
        <v>85</v>
      </c>
      <c r="S4" s="5">
        <v>0.70025856039642087</v>
      </c>
      <c r="T4" s="5">
        <v>5.9841792350820893E-3</v>
      </c>
      <c r="U4" s="5">
        <v>4.8194835670028443E-3</v>
      </c>
      <c r="V4" s="5">
        <v>0.69225903515128395</v>
      </c>
      <c r="W4" s="5">
        <v>0.70509920302947404</v>
      </c>
      <c r="X4" s="5">
        <v>0</v>
      </c>
      <c r="Y4" s="5">
        <v>1</v>
      </c>
      <c r="AL4" t="s">
        <v>92</v>
      </c>
      <c r="AM4" t="s">
        <v>93</v>
      </c>
      <c r="AN4" t="s">
        <v>85</v>
      </c>
      <c r="AO4" s="5">
        <v>5985</v>
      </c>
      <c r="AP4" s="5">
        <v>23.55891793773068</v>
      </c>
      <c r="AQ4" s="5">
        <v>18.973665961010276</v>
      </c>
      <c r="AR4" s="5">
        <v>5970</v>
      </c>
      <c r="AS4" s="5">
        <v>6018</v>
      </c>
    </row>
    <row r="5" spans="1:52" x14ac:dyDescent="0.3">
      <c r="C5" t="s">
        <v>74</v>
      </c>
      <c r="D5" t="s">
        <v>72</v>
      </c>
      <c r="E5" s="5">
        <v>1.3092013551920503</v>
      </c>
      <c r="F5" s="5">
        <v>1</v>
      </c>
      <c r="G5" s="5">
        <v>2.0439905837807176E-2</v>
      </c>
      <c r="H5" s="5">
        <v>1.646170450893018E-2</v>
      </c>
      <c r="I5" s="5">
        <v>1.28443275256349</v>
      </c>
      <c r="J5" s="5">
        <v>1.3256984574734101</v>
      </c>
      <c r="K5" s="5">
        <v>0</v>
      </c>
      <c r="L5" s="5">
        <v>6.8530488026672201</v>
      </c>
      <c r="M5" s="5">
        <v>5984.8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94</v>
      </c>
      <c r="AM5" t="s">
        <v>95</v>
      </c>
      <c r="AN5" t="s">
        <v>85</v>
      </c>
      <c r="AO5" s="5">
        <v>0.70025856039642087</v>
      </c>
      <c r="AP5" s="5">
        <v>5.9841792350820893E-3</v>
      </c>
      <c r="AQ5" s="5">
        <v>4.8194835670028443E-3</v>
      </c>
      <c r="AR5" s="5">
        <v>0.69225903515128395</v>
      </c>
      <c r="AS5" s="5">
        <v>0.70509920302947404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5984.8</v>
      </c>
      <c r="P6" t="s">
        <v>70</v>
      </c>
      <c r="Q6" t="s">
        <v>81</v>
      </c>
      <c r="R6" t="s">
        <v>72</v>
      </c>
      <c r="S6" s="5">
        <v>0.87058569104618844</v>
      </c>
      <c r="T6" s="5">
        <v>1.4389546819089181E-2</v>
      </c>
      <c r="U6" s="5">
        <v>1.1588921672775905E-2</v>
      </c>
      <c r="V6" s="5">
        <v>0.85208233070763995</v>
      </c>
      <c r="W6" s="5">
        <v>0.88013756900514695</v>
      </c>
      <c r="X6" s="5">
        <v>0</v>
      </c>
      <c r="Y6" s="5">
        <v>6</v>
      </c>
      <c r="AL6" t="s">
        <v>88</v>
      </c>
      <c r="AM6" t="s">
        <v>89</v>
      </c>
      <c r="AN6" t="s">
        <v>72</v>
      </c>
      <c r="AO6" s="5">
        <v>5984.6</v>
      </c>
      <c r="AP6" s="5">
        <v>22.480634443847659</v>
      </c>
      <c r="AQ6" s="5">
        <v>18.105247858010671</v>
      </c>
      <c r="AR6" s="5">
        <v>5970</v>
      </c>
      <c r="AS6" s="5">
        <v>6016</v>
      </c>
    </row>
    <row r="7" spans="1:52" x14ac:dyDescent="0.3">
      <c r="C7" t="s">
        <v>76</v>
      </c>
      <c r="D7" t="s">
        <v>72</v>
      </c>
      <c r="E7" s="5">
        <v>1.053005960029394</v>
      </c>
      <c r="F7" s="5">
        <v>1</v>
      </c>
      <c r="G7" s="5">
        <v>8.5265999339848627E-3</v>
      </c>
      <c r="H7" s="5">
        <v>6.8670751075329169E-3</v>
      </c>
      <c r="I7" s="5">
        <v>1.04349311102124</v>
      </c>
      <c r="J7" s="5">
        <v>1.06204234135943</v>
      </c>
      <c r="K7" s="5">
        <v>0</v>
      </c>
      <c r="L7" s="5">
        <v>2.5625835973069102</v>
      </c>
      <c r="M7" s="5">
        <v>5984.8</v>
      </c>
      <c r="P7" t="s">
        <v>78</v>
      </c>
      <c r="Q7" t="s">
        <v>82</v>
      </c>
      <c r="R7" t="s">
        <v>80</v>
      </c>
      <c r="S7" s="5">
        <v>0.17032713064976762</v>
      </c>
      <c r="T7" s="5">
        <v>9.5472645965037004E-3</v>
      </c>
      <c r="U7" s="5">
        <v>7.6890886828603535E-3</v>
      </c>
      <c r="V7" s="5">
        <v>0.15982329555635399</v>
      </c>
      <c r="W7" s="5">
        <v>0.17885173074523</v>
      </c>
      <c r="X7" s="5">
        <v>0</v>
      </c>
      <c r="Y7" s="5">
        <v>5</v>
      </c>
      <c r="AL7" t="s">
        <v>90</v>
      </c>
      <c r="AM7" t="s">
        <v>91</v>
      </c>
      <c r="AN7" t="s">
        <v>72</v>
      </c>
      <c r="AO7" s="5">
        <v>5984.8</v>
      </c>
      <c r="AP7" s="5">
        <v>23.679675113673735</v>
      </c>
      <c r="AQ7" s="5">
        <v>19.070920271449936</v>
      </c>
      <c r="AR7" s="5">
        <v>5970</v>
      </c>
      <c r="AS7" s="5">
        <v>6018</v>
      </c>
    </row>
    <row r="8" spans="1:52" x14ac:dyDescent="0.3">
      <c r="C8" t="s">
        <v>77</v>
      </c>
      <c r="D8" t="s">
        <v>72</v>
      </c>
      <c r="E8" s="5">
        <v>0.25619539516265533</v>
      </c>
      <c r="F8" s="5">
        <v>1</v>
      </c>
      <c r="G8" s="5">
        <v>1.4117357410551869E-2</v>
      </c>
      <c r="H8" s="5">
        <v>1.1369708255191863E-2</v>
      </c>
      <c r="I8" s="5">
        <v>0.24093964154224301</v>
      </c>
      <c r="J8" s="5">
        <v>0.26912984061312001</v>
      </c>
      <c r="K8" s="5">
        <v>0</v>
      </c>
      <c r="L8" s="5">
        <v>5.8598129949696203</v>
      </c>
      <c r="M8" s="5">
        <v>5984.8</v>
      </c>
    </row>
    <row r="9" spans="1:52" x14ac:dyDescent="0.3">
      <c r="B9" t="s">
        <v>78</v>
      </c>
      <c r="C9" t="s">
        <v>79</v>
      </c>
      <c r="D9" t="s">
        <v>80</v>
      </c>
      <c r="E9" s="5">
        <v>0.25617671023290384</v>
      </c>
      <c r="F9" s="5">
        <v>1</v>
      </c>
      <c r="G9" s="5">
        <v>1.408522472220246E-2</v>
      </c>
      <c r="H9" s="5">
        <v>1.1343829524395213E-2</v>
      </c>
      <c r="I9" s="5">
        <v>0.24093964154224301</v>
      </c>
      <c r="J9" s="5">
        <v>0.26908485066985499</v>
      </c>
      <c r="K9" s="5">
        <v>0</v>
      </c>
      <c r="L9" s="5">
        <v>5.8598129949696203</v>
      </c>
      <c r="M9" s="5">
        <v>5985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2.33203125" bestFit="1" customWidth="1"/>
    <col min="11" max="11" width="21.58203125" bestFit="1" customWidth="1"/>
    <col min="12" max="12" width="46.0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5981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5984.8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5981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5984.8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1.3225130771201701</v>
      </c>
      <c r="H4">
        <v>4.1792533164519897E-2</v>
      </c>
      <c r="I4">
        <v>0</v>
      </c>
      <c r="J4">
        <v>6.8530488026672201</v>
      </c>
      <c r="K4">
        <v>5981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1.3092013551920503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1.646170450893018E-2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2.0439905837807176E-2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1.28443275256349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1.3256984574734101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6.8530488026672201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5984.8</v>
      </c>
      <c r="W4">
        <f>IF((DiscreteStatsTable[[#This Row],[RepsRequested]]&gt;1),DiscreteStatsTable[[#This Row],[HalfWidth]],DiscreteStatsTable[[#This Row],[BatchMeansHalfWidth]])</f>
        <v>2.0439905837807176E-2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5981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5984.8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1.0533832365070499</v>
      </c>
      <c r="H6">
        <v>3E+20</v>
      </c>
      <c r="I6">
        <v>0</v>
      </c>
      <c r="J6">
        <v>2.5160616991834099</v>
      </c>
      <c r="K6">
        <v>5981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1.053005960029394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6.8670751075329169E-3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8.5265999339848627E-3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1.04349311102124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1.06204234135943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2.5625835973069102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5984.8</v>
      </c>
      <c r="W6">
        <f>IF((DiscreteStatsTable[[#This Row],[RepsRequested]]&gt;1),DiscreteStatsTable[[#This Row],[HalfWidth]],DiscreteStatsTable[[#This Row],[BatchMeansHalfWidth]])</f>
        <v>8.5265999339848627E-3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0.26912984061312001</v>
      </c>
      <c r="H7">
        <v>3.65095326523995E-2</v>
      </c>
      <c r="I7">
        <v>0</v>
      </c>
      <c r="J7">
        <v>5.8598129949696203</v>
      </c>
      <c r="K7">
        <v>5981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0.25619539516265533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1.1369708255191863E-2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1.4117357410551869E-2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0.24093964154224301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0.26912984061312001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5.8598129949696203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5984.8</v>
      </c>
      <c r="W7">
        <f>IF((DiscreteStatsTable[[#This Row],[RepsRequested]]&gt;1),DiscreteStatsTable[[#This Row],[HalfWidth]],DiscreteStatsTable[[#This Row],[BatchMeansHalfWidth]])</f>
        <v>1.4117357410551869E-2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5980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5984.8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5980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5984.8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1.3046307634799299</v>
      </c>
      <c r="H10">
        <v>3.3050368391924899E-2</v>
      </c>
      <c r="I10">
        <v>0</v>
      </c>
      <c r="J10">
        <v>5.84484414932012</v>
      </c>
      <c r="K10">
        <v>5980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1.3092013551920503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1.646170450893018E-2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2.0439905837807176E-2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1.28443275256349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1.3256984574734101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6.8530488026672201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5984.8</v>
      </c>
      <c r="W10">
        <f>IF((DiscreteStatsTable[[#This Row],[RepsRequested]]&gt;1),DiscreteStatsTable[[#This Row],[HalfWidth]],DiscreteStatsTable[[#This Row],[BatchMeansHalfWidth]])</f>
        <v>2.0439905837807176E-2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5980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5984.8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1.05591292691706</v>
      </c>
      <c r="H12">
        <v>9.8193923179411505E-3</v>
      </c>
      <c r="I12">
        <v>0</v>
      </c>
      <c r="J12">
        <v>2.5625835973069102</v>
      </c>
      <c r="K12">
        <v>5980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1.053005960029394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6.8670751075329169E-3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8.5265999339848627E-3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1.04349311102124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1.06204234135943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2.5625835973069102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5984.8</v>
      </c>
      <c r="W12">
        <f>IF((DiscreteStatsTable[[#This Row],[RepsRequested]]&gt;1),DiscreteStatsTable[[#This Row],[HalfWidth]],DiscreteStatsTable[[#This Row],[BatchMeansHalfWidth]])</f>
        <v>8.5265999339848627E-3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0.248717836562871</v>
      </c>
      <c r="H13">
        <v>2.9223540685108601E-2</v>
      </c>
      <c r="I13">
        <v>0</v>
      </c>
      <c r="J13">
        <v>4.6946977160459902</v>
      </c>
      <c r="K13">
        <v>5980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0.25619539516265533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1.1369708255191863E-2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1.4117357410551869E-2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0.24093964154224301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0.26912984061312001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5.8598129949696203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5984.8</v>
      </c>
      <c r="W13">
        <f>IF((DiscreteStatsTable[[#This Row],[RepsRequested]]&gt;1),DiscreteStatsTable[[#This Row],[HalfWidth]],DiscreteStatsTable[[#This Row],[BatchMeansHalfWidth]])</f>
        <v>1.4117357410551869E-2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6018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5984.8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6018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5984.8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1.30873172532325</v>
      </c>
      <c r="H16">
        <v>4.0823409462553403E-2</v>
      </c>
      <c r="I16">
        <v>0</v>
      </c>
      <c r="J16">
        <v>6.0076798290001499</v>
      </c>
      <c r="K16">
        <v>6018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1.3092013551920503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1.646170450893018E-2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2.0439905837807176E-2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1.28443275256349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1.3256984574734101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6.8530488026672201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5984.8</v>
      </c>
      <c r="W16">
        <f>IF((DiscreteStatsTable[[#This Row],[RepsRequested]]&gt;1),DiscreteStatsTable[[#This Row],[HalfWidth]],DiscreteStatsTable[[#This Row],[BatchMeansHalfWidth]])</f>
        <v>2.0439905837807176E-2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6018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5984.8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1.0501981843421899</v>
      </c>
      <c r="H18">
        <v>1.02979761460459E-2</v>
      </c>
      <c r="I18">
        <v>0</v>
      </c>
      <c r="J18">
        <v>2.39093992049493</v>
      </c>
      <c r="K18">
        <v>6018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1.053005960029394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6.8670751075329169E-3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8.5265999339848627E-3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1.04349311102124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1.06204234135943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2.5625835973069102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5984.8</v>
      </c>
      <c r="W18">
        <f>IF((DiscreteStatsTable[[#This Row],[RepsRequested]]&gt;1),DiscreteStatsTable[[#This Row],[HalfWidth]],DiscreteStatsTable[[#This Row],[BatchMeansHalfWidth]])</f>
        <v>8.5265999339848627E-3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0.25853354098105702</v>
      </c>
      <c r="H19">
        <v>3.5446992207133203E-2</v>
      </c>
      <c r="I19">
        <v>0</v>
      </c>
      <c r="J19">
        <v>4.8832509548674397</v>
      </c>
      <c r="K19">
        <v>6018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0.25619539516265533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1.1369708255191863E-2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1.4117357410551869E-2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0.24093964154224301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0.26912984061312001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5.8598129949696203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5984.8</v>
      </c>
      <c r="W19">
        <f>IF((DiscreteStatsTable[[#This Row],[RepsRequested]]&gt;1),DiscreteStatsTable[[#This Row],[HalfWidth]],DiscreteStatsTable[[#This Row],[BatchMeansHalfWidth]])</f>
        <v>1.4117357410551869E-2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5975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5984.8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5975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5984.8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1.3256984574734101</v>
      </c>
      <c r="H22">
        <v>2.4309535633196402E-2</v>
      </c>
      <c r="I22">
        <v>0</v>
      </c>
      <c r="J22">
        <v>5.2171886232604301</v>
      </c>
      <c r="K22">
        <v>5975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1.3092013551920503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1.646170450893018E-2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2.0439905837807176E-2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1.28443275256349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1.3256984574734101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6.8530488026672201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5984.8</v>
      </c>
      <c r="W22">
        <f>IF((DiscreteStatsTable[[#This Row],[RepsRequested]]&gt;1),DiscreteStatsTable[[#This Row],[HalfWidth]],DiscreteStatsTable[[#This Row],[BatchMeansHalfWidth]])</f>
        <v>2.0439905837807176E-2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5975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5984.8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1.06204234135943</v>
      </c>
      <c r="H24">
        <v>8.8237698273797502E-3</v>
      </c>
      <c r="I24">
        <v>0</v>
      </c>
      <c r="J24">
        <v>2.54553835947263</v>
      </c>
      <c r="K24">
        <v>5975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1.053005960029394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6.8670751075329169E-3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8.5265999339848627E-3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1.04349311102124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1.06204234135943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2.5625835973069102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5984.8</v>
      </c>
      <c r="W24">
        <f>IF((DiscreteStatsTable[[#This Row],[RepsRequested]]&gt;1),DiscreteStatsTable[[#This Row],[HalfWidth]],DiscreteStatsTable[[#This Row],[BatchMeansHalfWidth]])</f>
        <v>8.5265999339848627E-3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0.26365611611398598</v>
      </c>
      <c r="H25">
        <v>2.05109194492125E-2</v>
      </c>
      <c r="I25">
        <v>0</v>
      </c>
      <c r="J25">
        <v>4.2212959562430097</v>
      </c>
      <c r="K25">
        <v>5975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0.25619539516265533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1.1369708255191863E-2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1.4117357410551869E-2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0.24093964154224301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0.26912984061312001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5.8598129949696203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5984.8</v>
      </c>
      <c r="W25">
        <f>IF((DiscreteStatsTable[[#This Row],[RepsRequested]]&gt;1),DiscreteStatsTable[[#This Row],[HalfWidth]],DiscreteStatsTable[[#This Row],[BatchMeansHalfWidth]])</f>
        <v>1.4117357410551869E-2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5970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5984.8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5970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5984.8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1.28443275256349</v>
      </c>
      <c r="H28">
        <v>4.0767714125470499E-2</v>
      </c>
      <c r="I28">
        <v>0</v>
      </c>
      <c r="J28">
        <v>4.8473286393964399</v>
      </c>
      <c r="K28">
        <v>5970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1.3092013551920503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1.646170450893018E-2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2.0439905837807176E-2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1.28443275256349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1.3256984574734101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6.8530488026672201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5984.8</v>
      </c>
      <c r="W28">
        <f>IF((DiscreteStatsTable[[#This Row],[RepsRequested]]&gt;1),DiscreteStatsTable[[#This Row],[HalfWidth]],DiscreteStatsTable[[#This Row],[BatchMeansHalfWidth]])</f>
        <v>2.0439905837807176E-2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5970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5984.8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1.04349311102124</v>
      </c>
      <c r="H30">
        <v>1.0853495066809399E-2</v>
      </c>
      <c r="I30">
        <v>0</v>
      </c>
      <c r="J30">
        <v>2.53341487231864</v>
      </c>
      <c r="K30">
        <v>5970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1.053005960029394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6.8670751075329169E-3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8.5265999339848627E-3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1.04349311102124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1.06204234135943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2.5625835973069102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5984.8</v>
      </c>
      <c r="W30">
        <f>IF((DiscreteStatsTable[[#This Row],[RepsRequested]]&gt;1),DiscreteStatsTable[[#This Row],[HalfWidth]],DiscreteStatsTable[[#This Row],[BatchMeansHalfWidth]])</f>
        <v>8.5265999339848627E-3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0.24093964154224301</v>
      </c>
      <c r="H31">
        <v>3.2993980564979097E-2</v>
      </c>
      <c r="I31">
        <v>0</v>
      </c>
      <c r="J31">
        <v>3.8074911539515601</v>
      </c>
      <c r="K31">
        <v>5970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0.25619539516265533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1.1369708255191863E-2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1.4117357410551869E-2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0.24093964154224301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0.26912984061312001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5.8598129949696203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5984.8</v>
      </c>
      <c r="W31">
        <f>IF((DiscreteStatsTable[[#This Row],[RepsRequested]]&gt;1),DiscreteStatsTable[[#This Row],[HalfWidth]],DiscreteStatsTable[[#This Row],[BatchMeansHalfWidth]])</f>
        <v>1.4117357410551869E-2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1</v>
      </c>
      <c r="D32" t="s">
        <v>78</v>
      </c>
      <c r="E32" t="s">
        <v>79</v>
      </c>
      <c r="F32" t="s">
        <v>80</v>
      </c>
      <c r="G32">
        <v>0.26908485066985499</v>
      </c>
      <c r="H32">
        <v>3.65095326523995E-2</v>
      </c>
      <c r="I32">
        <v>0</v>
      </c>
      <c r="J32">
        <v>5.8598129949696203</v>
      </c>
      <c r="K32">
        <v>5982</v>
      </c>
      <c r="L32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0.25617671023290384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1.1343829524395213E-2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1.408522472220246E-2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0.24093964154224301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0.26908485066985499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5.8598129949696203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5985</v>
      </c>
      <c r="W32">
        <f>IF((DiscreteStatsTable[[#This Row],[RepsRequested]]&gt;1),DiscreteStatsTable[[#This Row],[HalfWidth]],DiscreteStatsTable[[#This Row],[BatchMeansHalfWidth]])</f>
        <v>1.408522472220246E-2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2</v>
      </c>
      <c r="D33" t="s">
        <v>78</v>
      </c>
      <c r="E33" t="s">
        <v>79</v>
      </c>
      <c r="F33" t="s">
        <v>80</v>
      </c>
      <c r="G33">
        <v>0.248743951903941</v>
      </c>
      <c r="H33">
        <v>2.9049801017670601E-2</v>
      </c>
      <c r="I33">
        <v>0</v>
      </c>
      <c r="J33">
        <v>4.6946977160459902</v>
      </c>
      <c r="K33">
        <v>5979</v>
      </c>
      <c r="L33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0.25617671023290384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1.1343829524395213E-2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1.408522472220246E-2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0.24093964154224301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0.26908485066985499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5.8598129949696203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5985</v>
      </c>
      <c r="W33">
        <f>IF((DiscreteStatsTable[[#This Row],[RepsRequested]]&gt;1),DiscreteStatsTable[[#This Row],[HalfWidth]],DiscreteStatsTable[[#This Row],[BatchMeansHalfWidth]])</f>
        <v>1.408522472220246E-2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3</v>
      </c>
      <c r="D34" t="s">
        <v>78</v>
      </c>
      <c r="E34" t="s">
        <v>79</v>
      </c>
      <c r="F34" t="s">
        <v>80</v>
      </c>
      <c r="G34">
        <v>0.25850311009716398</v>
      </c>
      <c r="H34">
        <v>3.5242407537124001E-2</v>
      </c>
      <c r="I34">
        <v>0</v>
      </c>
      <c r="J34">
        <v>4.8832509548674397</v>
      </c>
      <c r="K34">
        <v>6018</v>
      </c>
      <c r="L34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0.25617671023290384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1.1343829524395213E-2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1.408522472220246E-2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0.24093964154224301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0.26908485066985499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5.8598129949696203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5985</v>
      </c>
      <c r="W34">
        <f>IF((DiscreteStatsTable[[#This Row],[RepsRequested]]&gt;1),DiscreteStatsTable[[#This Row],[HalfWidth]],DiscreteStatsTable[[#This Row],[BatchMeansHalfWidth]])</f>
        <v>1.408522472220246E-2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78</v>
      </c>
      <c r="E35" t="s">
        <v>79</v>
      </c>
      <c r="F35" t="s">
        <v>80</v>
      </c>
      <c r="G35">
        <v>0.26361199695131599</v>
      </c>
      <c r="H35">
        <v>2.05109194492125E-2</v>
      </c>
      <c r="I35">
        <v>0</v>
      </c>
      <c r="J35">
        <v>4.2212959562430097</v>
      </c>
      <c r="K35">
        <v>5976</v>
      </c>
      <c r="L35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0.25617671023290384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1.1343829524395213E-2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1.408522472220246E-2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0.24093964154224301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0.26908485066985499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5.8598129949696203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5985</v>
      </c>
      <c r="W35">
        <f>IF((DiscreteStatsTable[[#This Row],[RepsRequested]]&gt;1),DiscreteStatsTable[[#This Row],[HalfWidth]],DiscreteStatsTable[[#This Row],[BatchMeansHalfWidth]])</f>
        <v>1.408522472220246E-2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78</v>
      </c>
      <c r="E36" t="s">
        <v>79</v>
      </c>
      <c r="F36" t="s">
        <v>80</v>
      </c>
      <c r="G36">
        <v>0.24093964154224301</v>
      </c>
      <c r="H36">
        <v>3.32788153227404E-2</v>
      </c>
      <c r="I36">
        <v>0</v>
      </c>
      <c r="J36">
        <v>3.8074911539515601</v>
      </c>
      <c r="K36">
        <v>5970</v>
      </c>
      <c r="L36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0.25617671023290384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1.1343829524395213E-2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1.408522472220246E-2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0.24093964154224301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0.26908485066985499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5.8598129949696203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5985</v>
      </c>
      <c r="W36">
        <f>IF((DiscreteStatsTable[[#This Row],[RepsRequested]]&gt;1),DiscreteStatsTable[[#This Row],[HalfWidth]],DiscreteStatsTable[[#This Row],[BatchMeansHalfWidth]])</f>
        <v>1.408522472220246E-2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/>
    <row r="38" spans="1:25" x14ac:dyDescent="0.3"/>
    <row r="39" spans="1:25" x14ac:dyDescent="0.3"/>
    <row r="40" spans="1:25" x14ac:dyDescent="0.3"/>
    <row r="41" spans="1:25" x14ac:dyDescent="0.3"/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2.914062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0.87901814063905204</v>
      </c>
      <c r="H2">
        <v>2.8810570010399401E-2</v>
      </c>
      <c r="I2">
        <v>0</v>
      </c>
      <c r="J2">
        <v>6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0.87058569104618844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1.1588921672775905E-2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1.4389546819089181E-2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0.85208233070763995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0.88013756900514695</v>
      </c>
      <c r="U2">
        <f>IF((ContinuousStatsTable[[#This Row],[RepsRequested]]&gt;1),ContinuousStatsTable[[#This Row],[HalfWidth]],ContinuousStatsTable[[#This Row],[BatchMeansHalfWidth]])</f>
        <v>1.4389546819089181E-2</v>
      </c>
    </row>
    <row r="3" spans="1:21" x14ac:dyDescent="0.3">
      <c r="A3" t="s">
        <v>66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0.17885173074523</v>
      </c>
      <c r="H3">
        <v>2.3240797721461901E-2</v>
      </c>
      <c r="I3">
        <v>0</v>
      </c>
      <c r="J3">
        <v>5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0.17032713064976762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7.6890886828603535E-3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9.5472645965037004E-3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0.15982329555635399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0.17885173074523</v>
      </c>
      <c r="U3">
        <f>IF((ContinuousStatsTable[[#This Row],[RepsRequested]]&gt;1),ContinuousStatsTable[[#This Row],[HalfWidth]],ContinuousStatsTable[[#This Row],[BatchMeansHalfWidth]])</f>
        <v>9.5472645965037004E-3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0.70016640989382395</v>
      </c>
      <c r="H4">
        <v>8.9774412321063004E-3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0.69225903515128395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0.70509920302947404</v>
      </c>
      <c r="U4">
        <f>IF((ContinuousStatsTable[[#This Row],[RepsRequested]]&gt;1),ContinuousStatsTable[[#This Row],[HalfWidth]],ContinuousStatsTable[[#This Row],[BatchMeansHalfWidth]])</f>
        <v>5.9841792350820893E-3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0.70016640989382395</v>
      </c>
      <c r="H5">
        <v>8.9774412321063004E-3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0.69225903515128395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0.70509920302947404</v>
      </c>
      <c r="U5">
        <f>IF((ContinuousStatsTable[[#This Row],[RepsRequested]]&gt;1),ContinuousStatsTable[[#This Row],[HalfWidth]],ContinuousStatsTable[[#This Row],[BatchMeansHalfWidth]])</f>
        <v>5.9841792350820893E-3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0.86682284481685701</v>
      </c>
      <c r="H7">
        <v>3E+20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0.87058569104618844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1.1588921672775905E-2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1.4389546819089181E-2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0.85208233070763995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0.88013756900514695</v>
      </c>
      <c r="U7">
        <f>IF((ContinuousStatsTable[[#This Row],[RepsRequested]]&gt;1),ContinuousStatsTable[[#This Row],[HalfWidth]],ContinuousStatsTable[[#This Row],[BatchMeansHalfWidth]])</f>
        <v>1.4389546819089181E-2</v>
      </c>
    </row>
    <row r="8" spans="1:21" x14ac:dyDescent="0.3">
      <c r="A8" t="s">
        <v>66</v>
      </c>
      <c r="B8" t="s">
        <v>69</v>
      </c>
      <c r="C8">
        <v>2</v>
      </c>
      <c r="D8" t="s">
        <v>78</v>
      </c>
      <c r="E8" t="s">
        <v>82</v>
      </c>
      <c r="F8" t="s">
        <v>80</v>
      </c>
      <c r="G8">
        <v>0.16524889871485099</v>
      </c>
      <c r="H8">
        <v>2.1309121582750602E-2</v>
      </c>
      <c r="I8">
        <v>0</v>
      </c>
      <c r="J8">
        <v>4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0.17032713064976762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7.6890886828603535E-3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9.5472645965037004E-3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0.15982329555635399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0.17885173074523</v>
      </c>
      <c r="U8">
        <f>IF((ContinuousStatsTable[[#This Row],[RepsRequested]]&gt;1),ContinuousStatsTable[[#This Row],[HalfWidth]],ContinuousStatsTable[[#This Row],[BatchMeansHalfWidth]])</f>
        <v>9.5472645965037004E-3</v>
      </c>
    </row>
    <row r="9" spans="1:21" x14ac:dyDescent="0.3">
      <c r="A9" t="s">
        <v>66</v>
      </c>
      <c r="B9" t="s">
        <v>69</v>
      </c>
      <c r="C9">
        <v>2</v>
      </c>
      <c r="D9" t="s">
        <v>83</v>
      </c>
      <c r="E9" t="s">
        <v>84</v>
      </c>
      <c r="F9" t="s">
        <v>85</v>
      </c>
      <c r="G9">
        <v>0.70157394610200596</v>
      </c>
      <c r="H9">
        <v>9.9528192372239904E-3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0.69225903515128395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0.70509920302947404</v>
      </c>
      <c r="U9">
        <f>IF((ContinuousStatsTable[[#This Row],[RepsRequested]]&gt;1),ContinuousStatsTable[[#This Row],[HalfWidth]],ContinuousStatsTable[[#This Row],[BatchMeansHalfWidth]])</f>
        <v>5.9841792350820893E-3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86</v>
      </c>
      <c r="F10" t="s">
        <v>85</v>
      </c>
      <c r="G10">
        <v>0.70157394610200596</v>
      </c>
      <c r="H10">
        <v>9.9528192372239904E-3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0.69225903515128395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0.70509920302947404</v>
      </c>
      <c r="U10">
        <f>IF((ContinuousStatsTable[[#This Row],[RepsRequested]]&gt;1),ContinuousStatsTable[[#This Row],[HalfWidth]],ContinuousStatsTable[[#This Row],[BatchMeansHalfWidth]])</f>
        <v>5.9841792350820893E-3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87</v>
      </c>
      <c r="F11" t="s">
        <v>85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0.87486757006224602</v>
      </c>
      <c r="H12">
        <v>2.9158253246251601E-2</v>
      </c>
      <c r="I12">
        <v>0</v>
      </c>
      <c r="J12">
        <v>5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0.87058569104618844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1.1588921672775905E-2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1.4389546819089181E-2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0.85208233070763995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0.88013756900514695</v>
      </c>
      <c r="U12" s="5">
        <f>IF((ContinuousStatsTable[[#This Row],[RepsRequested]]&gt;1),ContinuousStatsTable[[#This Row],[HalfWidth]],ContinuousStatsTable[[#This Row],[BatchMeansHalfWidth]])</f>
        <v>1.4389546819089181E-2</v>
      </c>
    </row>
    <row r="13" spans="1:21" x14ac:dyDescent="0.3">
      <c r="A13" t="s">
        <v>66</v>
      </c>
      <c r="B13" t="s">
        <v>69</v>
      </c>
      <c r="C13">
        <v>3</v>
      </c>
      <c r="D13" t="s">
        <v>78</v>
      </c>
      <c r="E13" t="s">
        <v>82</v>
      </c>
      <c r="F13" t="s">
        <v>80</v>
      </c>
      <c r="G13">
        <v>0.172673362256729</v>
      </c>
      <c r="H13">
        <v>2.2666664713898398E-2</v>
      </c>
      <c r="I13">
        <v>0</v>
      </c>
      <c r="J13">
        <v>4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0.17032713064976762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7.6890886828603535E-3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9.5472645965037004E-3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0.15982329555635399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0.17885173074523</v>
      </c>
      <c r="U13" s="5">
        <f>IF((ContinuousStatsTable[[#This Row],[RepsRequested]]&gt;1),ContinuousStatsTable[[#This Row],[HalfWidth]],ContinuousStatsTable[[#This Row],[BatchMeansHalfWidth]])</f>
        <v>9.5472645965037004E-3</v>
      </c>
    </row>
    <row r="14" spans="1:21" x14ac:dyDescent="0.3">
      <c r="A14" t="s">
        <v>66</v>
      </c>
      <c r="B14" t="s">
        <v>69</v>
      </c>
      <c r="C14">
        <v>3</v>
      </c>
      <c r="D14" t="s">
        <v>83</v>
      </c>
      <c r="E14" t="s">
        <v>84</v>
      </c>
      <c r="F14" t="s">
        <v>85</v>
      </c>
      <c r="G14">
        <v>0.702194207805517</v>
      </c>
      <c r="H14">
        <v>8.7529547435898098E-3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0.69225903515128395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0.70509920302947404</v>
      </c>
      <c r="U14" s="5">
        <f>IF((ContinuousStatsTable[[#This Row],[RepsRequested]]&gt;1),ContinuousStatsTable[[#This Row],[HalfWidth]],ContinuousStatsTable[[#This Row],[BatchMeansHalfWidth]])</f>
        <v>5.9841792350820893E-3</v>
      </c>
    </row>
    <row r="15" spans="1:21" x14ac:dyDescent="0.3">
      <c r="A15" t="s">
        <v>66</v>
      </c>
      <c r="B15" t="s">
        <v>69</v>
      </c>
      <c r="C15">
        <v>3</v>
      </c>
      <c r="D15" t="s">
        <v>83</v>
      </c>
      <c r="E15" t="s">
        <v>86</v>
      </c>
      <c r="F15" t="s">
        <v>85</v>
      </c>
      <c r="G15">
        <v>0.702194207805517</v>
      </c>
      <c r="H15">
        <v>8.7529547435898098E-3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0.69225903515128395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0.70509920302947404</v>
      </c>
      <c r="U15" s="5">
        <f>IF((ContinuousStatsTable[[#This Row],[RepsRequested]]&gt;1),ContinuousStatsTable[[#This Row],[HalfWidth]],ContinuousStatsTable[[#This Row],[BatchMeansHalfWidth]])</f>
        <v>5.9841792350820893E-3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87</v>
      </c>
      <c r="F16" t="s">
        <v>85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0.88013756900514695</v>
      </c>
      <c r="H17">
        <v>2.41629701121957E-2</v>
      </c>
      <c r="I17">
        <v>0</v>
      </c>
      <c r="J17">
        <v>5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0.87058569104618844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1.1588921672775905E-2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1.4389546819089181E-2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0.85208233070763995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0.88013756900514695</v>
      </c>
      <c r="U17" s="5">
        <f>IF((ContinuousStatsTable[[#This Row],[RepsRequested]]&gt;1),ContinuousStatsTable[[#This Row],[HalfWidth]],ContinuousStatsTable[[#This Row],[BatchMeansHalfWidth]])</f>
        <v>1.4389546819089181E-2</v>
      </c>
    </row>
    <row r="18" spans="1:21" x14ac:dyDescent="0.3">
      <c r="A18" t="s">
        <v>66</v>
      </c>
      <c r="B18" t="s">
        <v>69</v>
      </c>
      <c r="C18">
        <v>4</v>
      </c>
      <c r="D18" t="s">
        <v>78</v>
      </c>
      <c r="E18" t="s">
        <v>82</v>
      </c>
      <c r="F18" t="s">
        <v>80</v>
      </c>
      <c r="G18">
        <v>0.17503836597567399</v>
      </c>
      <c r="H18">
        <v>1.7093299513044401E-2</v>
      </c>
      <c r="I18">
        <v>0</v>
      </c>
      <c r="J18">
        <v>4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0.17032713064976762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7.6890886828603535E-3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9.5472645965037004E-3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0.15982329555635399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0.17885173074523</v>
      </c>
      <c r="U18" s="5">
        <f>IF((ContinuousStatsTable[[#This Row],[RepsRequested]]&gt;1),ContinuousStatsTable[[#This Row],[HalfWidth]],ContinuousStatsTable[[#This Row],[BatchMeansHalfWidth]])</f>
        <v>9.5472645965037004E-3</v>
      </c>
    </row>
    <row r="19" spans="1:21" x14ac:dyDescent="0.3">
      <c r="A19" t="s">
        <v>66</v>
      </c>
      <c r="B19" t="s">
        <v>69</v>
      </c>
      <c r="C19">
        <v>4</v>
      </c>
      <c r="D19" t="s">
        <v>83</v>
      </c>
      <c r="E19" t="s">
        <v>84</v>
      </c>
      <c r="F19" t="s">
        <v>85</v>
      </c>
      <c r="G19">
        <v>0.70509920302947404</v>
      </c>
      <c r="H19">
        <v>9.3618872400117892E-3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0.69225903515128395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0.70509920302947404</v>
      </c>
      <c r="U19" s="5">
        <f>IF((ContinuousStatsTable[[#This Row],[RepsRequested]]&gt;1),ContinuousStatsTable[[#This Row],[HalfWidth]],ContinuousStatsTable[[#This Row],[BatchMeansHalfWidth]])</f>
        <v>5.9841792350820893E-3</v>
      </c>
    </row>
    <row r="20" spans="1:21" x14ac:dyDescent="0.3">
      <c r="A20" t="s">
        <v>66</v>
      </c>
      <c r="B20" t="s">
        <v>69</v>
      </c>
      <c r="C20">
        <v>4</v>
      </c>
      <c r="D20" t="s">
        <v>83</v>
      </c>
      <c r="E20" t="s">
        <v>86</v>
      </c>
      <c r="F20" t="s">
        <v>85</v>
      </c>
      <c r="G20">
        <v>0.70509920302947404</v>
      </c>
      <c r="H20">
        <v>9.3618872400117892E-3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0.69225903515128395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0.70509920302947404</v>
      </c>
      <c r="U20" s="5">
        <f>IF((ContinuousStatsTable[[#This Row],[RepsRequested]]&gt;1),ContinuousStatsTable[[#This Row],[HalfWidth]],ContinuousStatsTable[[#This Row],[BatchMeansHalfWidth]])</f>
        <v>5.9841792350820893E-3</v>
      </c>
    </row>
    <row r="21" spans="1:21" x14ac:dyDescent="0.3">
      <c r="A21" t="s">
        <v>66</v>
      </c>
      <c r="B21" t="s">
        <v>69</v>
      </c>
      <c r="C21">
        <v>4</v>
      </c>
      <c r="D21" t="s">
        <v>83</v>
      </c>
      <c r="E21" t="s">
        <v>87</v>
      </c>
      <c r="F21" t="s">
        <v>85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0.85208233070763995</v>
      </c>
      <c r="H22">
        <v>3.2373433378021899E-2</v>
      </c>
      <c r="I22">
        <v>0</v>
      </c>
      <c r="J22">
        <v>4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0.87058569104618844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1.1588921672775905E-2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1.4389546819089181E-2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0.85208233070763995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0.88013756900514695</v>
      </c>
      <c r="U22" s="5">
        <f>IF((ContinuousStatsTable[[#This Row],[RepsRequested]]&gt;1),ContinuousStatsTable[[#This Row],[HalfWidth]],ContinuousStatsTable[[#This Row],[BatchMeansHalfWidth]])</f>
        <v>1.4389546819089181E-2</v>
      </c>
    </row>
    <row r="23" spans="1:21" x14ac:dyDescent="0.3">
      <c r="A23" t="s">
        <v>66</v>
      </c>
      <c r="B23" t="s">
        <v>69</v>
      </c>
      <c r="C23">
        <v>5</v>
      </c>
      <c r="D23" t="s">
        <v>78</v>
      </c>
      <c r="E23" t="s">
        <v>82</v>
      </c>
      <c r="F23" t="s">
        <v>80</v>
      </c>
      <c r="G23">
        <v>0.15982329555635399</v>
      </c>
      <c r="H23">
        <v>2.29557661980925E-2</v>
      </c>
      <c r="I23">
        <v>0</v>
      </c>
      <c r="J23">
        <v>3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0.17032713064976762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7.6890886828603535E-3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9.5472645965037004E-3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0.15982329555635399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0.17885173074523</v>
      </c>
      <c r="U23" s="5">
        <f>IF((ContinuousStatsTable[[#This Row],[RepsRequested]]&gt;1),ContinuousStatsTable[[#This Row],[HalfWidth]],ContinuousStatsTable[[#This Row],[BatchMeansHalfWidth]])</f>
        <v>9.5472645965037004E-3</v>
      </c>
    </row>
    <row r="24" spans="1:21" x14ac:dyDescent="0.3">
      <c r="A24" t="s">
        <v>66</v>
      </c>
      <c r="B24" t="s">
        <v>69</v>
      </c>
      <c r="C24">
        <v>5</v>
      </c>
      <c r="D24" t="s">
        <v>83</v>
      </c>
      <c r="E24" t="s">
        <v>84</v>
      </c>
      <c r="F24" t="s">
        <v>85</v>
      </c>
      <c r="G24">
        <v>0.69225903515128395</v>
      </c>
      <c r="H24">
        <v>1.10815658644165E-2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0.69225903515128395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0.70509920302947404</v>
      </c>
      <c r="U24" s="5">
        <f>IF((ContinuousStatsTable[[#This Row],[RepsRequested]]&gt;1),ContinuousStatsTable[[#This Row],[HalfWidth]],ContinuousStatsTable[[#This Row],[BatchMeansHalfWidth]])</f>
        <v>5.9841792350820893E-3</v>
      </c>
    </row>
    <row r="25" spans="1:21" x14ac:dyDescent="0.3">
      <c r="A25" t="s">
        <v>66</v>
      </c>
      <c r="B25" t="s">
        <v>69</v>
      </c>
      <c r="C25">
        <v>5</v>
      </c>
      <c r="D25" t="s">
        <v>83</v>
      </c>
      <c r="E25" t="s">
        <v>86</v>
      </c>
      <c r="F25" t="s">
        <v>85</v>
      </c>
      <c r="G25">
        <v>0.69225903515128395</v>
      </c>
      <c r="H25">
        <v>1.10815658644165E-2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0.70025856039642087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4.8194835670028443E-3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5.9841792350820893E-3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0.69225903515128395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0.70509920302947404</v>
      </c>
      <c r="U25" s="5">
        <f>IF((ContinuousStatsTable[[#This Row],[RepsRequested]]&gt;1),ContinuousStatsTable[[#This Row],[HalfWidth]],ContinuousStatsTable[[#This Row],[BatchMeansHalfWidth]])</f>
        <v>5.9841792350820893E-3</v>
      </c>
    </row>
    <row r="26" spans="1:21" x14ac:dyDescent="0.3">
      <c r="A26" t="s">
        <v>66</v>
      </c>
      <c r="B26" t="s">
        <v>69</v>
      </c>
      <c r="C26">
        <v>5</v>
      </c>
      <c r="D26" t="s">
        <v>83</v>
      </c>
      <c r="E26" t="s">
        <v>87</v>
      </c>
      <c r="F26" t="s">
        <v>85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7.5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7.6640625" bestFit="1" customWidth="1"/>
    <col min="10" max="10" width="16.4140625" bestFit="1" customWidth="1"/>
    <col min="11" max="11" width="11.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5982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5984.6</v>
      </c>
      <c r="L2" cm="1">
        <f t="array" ref="L2">IFERROR(_xlfn.STDEV.S(IF((OutputTable[GroupByKey]=OutputTable[[#This Row],[GroupByKey]]),(OutputTable[GroupByKey]=OutputTable[[#This Row],[GroupByKey]])*OutputTable[RecordedValue])),0)</f>
        <v>18.105247858010671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22.480634443847659</v>
      </c>
      <c r="O2" cm="1">
        <f t="array" ref="O2">MIN(IF((OutputTable[GroupByKey]=OutputTable[[#This Row],[GroupByKey]]),(OutputTable[GroupByKey]=OutputTable[[#This Row],[GroupByKey]])*OutputTable[RecordedValue]))</f>
        <v>5970</v>
      </c>
      <c r="P2" cm="1">
        <f t="array" ref="P2">MAX(IF((OutputTable[GroupByKey]=OutputTable[[#This Row],[GroupByKey]]),(OutputTable[GroupByKey]=OutputTable[[#This Row],[GroupByKey]])*OutputTable[RecordedValue]))</f>
        <v>6016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5981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5984.8</v>
      </c>
      <c r="L3" cm="1">
        <f t="array" ref="L3">IFERROR(_xlfn.STDEV.S(IF((OutputTable[GroupByKey]=OutputTable[[#This Row],[GroupByKey]]),(OutputTable[GroupByKey]=OutputTable[[#This Row],[GroupByKey]])*OutputTable[RecordedValue])),0)</f>
        <v>19.070920271449936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3" cm="1">
        <f t="array" ref="O3">MIN(IF((OutputTable[GroupByKey]=OutputTable[[#This Row],[GroupByKey]]),(OutputTable[GroupByKey]=OutputTable[[#This Row],[GroupByKey]])*OutputTable[RecordedValue]))</f>
        <v>5970</v>
      </c>
      <c r="P3" cm="1">
        <f t="array" ref="P3">MAX(IF((OutputTable[GroupByKey]=OutputTable[[#This Row],[GroupByKey]]),(OutputTable[GroupByKey]=OutputTable[[#This Row],[GroupByKey]])*OutputTable[RecordedValue]))</f>
        <v>6018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85</v>
      </c>
      <c r="G4">
        <v>5982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5985</v>
      </c>
      <c r="L4" cm="1">
        <f t="array" ref="L4">IFERROR(_xlfn.STDEV.S(IF((OutputTable[GroupByKey]=OutputTable[[#This Row],[GroupByKey]]),(OutputTable[GroupByKey]=OutputTable[[#This Row],[GroupByKey]])*OutputTable[RecordedValue])),0)</f>
        <v>18.973665961010276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23.55891793773068</v>
      </c>
      <c r="O4" cm="1">
        <f t="array" ref="O4">MIN(IF((OutputTable[GroupByKey]=OutputTable[[#This Row],[GroupByKey]]),(OutputTable[GroupByKey]=OutputTable[[#This Row],[GroupByKey]])*OutputTable[RecordedValue]))</f>
        <v>5970</v>
      </c>
      <c r="P4" cm="1">
        <f t="array" ref="P4">MAX(IF((OutputTable[GroupByKey]=OutputTable[[#This Row],[GroupByKey]]),(OutputTable[GroupByKey]=OutputTable[[#This Row],[GroupByKey]])*OutputTable[RecordedValue]))</f>
        <v>6018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85</v>
      </c>
      <c r="G5">
        <v>0.70016640989382395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0.70025856039642087</v>
      </c>
      <c r="L5" cm="1">
        <f t="array" ref="L5">IFERROR(_xlfn.STDEV.S(IF((OutputTable[GroupByKey]=OutputTable[[#This Row],[GroupByKey]]),(OutputTable[GroupByKey]=OutputTable[[#This Row],[GroupByKey]])*OutputTable[RecordedValue])),0)</f>
        <v>4.8194835670028443E-3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5.9841792350820893E-3</v>
      </c>
      <c r="O5" cm="1">
        <f t="array" ref="O5">MIN(IF((OutputTable[GroupByKey]=OutputTable[[#This Row],[GroupByKey]]),(OutputTable[GroupByKey]=OutputTable[[#This Row],[GroupByKey]])*OutputTable[RecordedValue]))</f>
        <v>0.69225903515128395</v>
      </c>
      <c r="P5" cm="1">
        <f t="array" ref="P5">MAX(IF((OutputTable[GroupByKey]=OutputTable[[#This Row],[GroupByKey]]),(OutputTable[GroupByKey]=OutputTable[[#This Row],[GroupByKey]])*OutputTable[RecordedValue]))</f>
        <v>0.70509920302947404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5981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5984.8</v>
      </c>
      <c r="L6" cm="1">
        <f t="array" ref="L6">IFERROR(_xlfn.STDEV.S(IF((OutputTable[GroupByKey]=OutputTable[[#This Row],[GroupByKey]]),(OutputTable[GroupByKey]=OutputTable[[#This Row],[GroupByKey]])*OutputTable[RecordedValue])),0)</f>
        <v>19.070920271449936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6" cm="1">
        <f t="array" ref="O6">MIN(IF((OutputTable[GroupByKey]=OutputTable[[#This Row],[GroupByKey]]),(OutputTable[GroupByKey]=OutputTable[[#This Row],[GroupByKey]])*OutputTable[RecordedValue]))</f>
        <v>5970</v>
      </c>
      <c r="P6" cm="1">
        <f t="array" ref="P6">MAX(IF((OutputTable[GroupByKey]=OutputTable[[#This Row],[GroupByKey]]),(OutputTable[GroupByKey]=OutputTable[[#This Row],[GroupByKey]])*OutputTable[RecordedValue]))</f>
        <v>6018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5979</v>
      </c>
      <c r="H7">
        <v>0</v>
      </c>
      <c r="I7" t="str">
        <f>OutputTable[[#This Row],[ProjectName]]&amp;OutputTable[[#This Row],[Name]]&amp;OutputTable[[#This Row],[Type]]&amp;OutputTable[[#This Row],[Source]]</f>
        <v>Unnamed ProjectPart.NumberInNumber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5984.6</v>
      </c>
      <c r="L7" cm="1">
        <f t="array" ref="L7">IFERROR(_xlfn.STDEV.S(IF((OutputTable[GroupByKey]=OutputTable[[#This Row],[GroupByKey]]),(OutputTable[GroupByKey]=OutputTable[[#This Row],[GroupByKey]])*OutputTable[RecordedValue])),0)</f>
        <v>18.105247858010671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22.480634443847659</v>
      </c>
      <c r="O7" cm="1">
        <f t="array" ref="O7">MIN(IF((OutputTable[GroupByKey]=OutputTable[[#This Row],[GroupByKey]]),(OutputTable[GroupByKey]=OutputTable[[#This Row],[GroupByKey]])*OutputTable[RecordedValue]))</f>
        <v>5970</v>
      </c>
      <c r="P7" cm="1">
        <f t="array" ref="P7">MAX(IF((OutputTable[GroupByKey]=OutputTable[[#This Row],[GroupByKey]]),(OutputTable[GroupByKey]=OutputTable[[#This Row],[GroupByKey]])*OutputTable[RecordedValue]))</f>
        <v>6016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5980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5984.8</v>
      </c>
      <c r="L8" cm="1">
        <f t="array" ref="L8">IFERROR(_xlfn.STDEV.S(IF((OutputTable[GroupByKey]=OutputTable[[#This Row],[GroupByKey]]),(OutputTable[GroupByKey]=OutputTable[[#This Row],[GroupByKey]])*OutputTable[RecordedValue])),0)</f>
        <v>19.070920271449936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8" cm="1">
        <f t="array" ref="O8">MIN(IF((OutputTable[GroupByKey]=OutputTable[[#This Row],[GroupByKey]]),(OutputTable[GroupByKey]=OutputTable[[#This Row],[GroupByKey]])*OutputTable[RecordedValue]))</f>
        <v>5970</v>
      </c>
      <c r="P8" cm="1">
        <f t="array" ref="P8">MAX(IF((OutputTable[GroupByKey]=OutputTable[[#This Row],[GroupByKey]]),(OutputTable[GroupByKey]=OutputTable[[#This Row],[GroupByKey]])*OutputTable[RecordedValue]))</f>
        <v>6018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85</v>
      </c>
      <c r="G9">
        <v>5979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5985</v>
      </c>
      <c r="L9" cm="1">
        <f t="array" ref="L9">IFERROR(_xlfn.STDEV.S(IF((OutputTable[GroupByKey]=OutputTable[[#This Row],[GroupByKey]]),(OutputTable[GroupByKey]=OutputTable[[#This Row],[GroupByKey]])*OutputTable[RecordedValue])),0)</f>
        <v>18.973665961010276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23.55891793773068</v>
      </c>
      <c r="O9" cm="1">
        <f t="array" ref="O9">MIN(IF((OutputTable[GroupByKey]=OutputTable[[#This Row],[GroupByKey]]),(OutputTable[GroupByKey]=OutputTable[[#This Row],[GroupByKey]])*OutputTable[RecordedValue]))</f>
        <v>5970</v>
      </c>
      <c r="P9" cm="1">
        <f t="array" ref="P9">MAX(IF((OutputTable[GroupByKey]=OutputTable[[#This Row],[GroupByKey]]),(OutputTable[GroupByKey]=OutputTable[[#This Row],[GroupByKey]])*OutputTable[RecordedValue]))</f>
        <v>6018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85</v>
      </c>
      <c r="G10">
        <v>0.70157394610200596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0.70025856039642087</v>
      </c>
      <c r="L10" cm="1">
        <f t="array" ref="L10">IFERROR(_xlfn.STDEV.S(IF((OutputTable[GroupByKey]=OutputTable[[#This Row],[GroupByKey]]),(OutputTable[GroupByKey]=OutputTable[[#This Row],[GroupByKey]])*OutputTable[RecordedValue])),0)</f>
        <v>4.8194835670028443E-3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5.9841792350820893E-3</v>
      </c>
      <c r="O10" cm="1">
        <f t="array" ref="O10">MIN(IF((OutputTable[GroupByKey]=OutputTable[[#This Row],[GroupByKey]]),(OutputTable[GroupByKey]=OutputTable[[#This Row],[GroupByKey]])*OutputTable[RecordedValue]))</f>
        <v>0.69225903515128395</v>
      </c>
      <c r="P10" cm="1">
        <f t="array" ref="P10">MAX(IF((OutputTable[GroupByKey]=OutputTable[[#This Row],[GroupByKey]]),(OutputTable[GroupByKey]=OutputTable[[#This Row],[GroupByKey]])*OutputTable[RecordedValue]))</f>
        <v>0.70509920302947404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5980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5984.8</v>
      </c>
      <c r="L11" cm="1">
        <f t="array" ref="L11">IFERROR(_xlfn.STDEV.S(IF((OutputTable[GroupByKey]=OutputTable[[#This Row],[GroupByKey]]),(OutputTable[GroupByKey]=OutputTable[[#This Row],[GroupByKey]])*OutputTable[RecordedValue])),0)</f>
        <v>19.070920271449936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11" cm="1">
        <f t="array" ref="O11">MIN(IF((OutputTable[GroupByKey]=OutputTable[[#This Row],[GroupByKey]]),(OutputTable[GroupByKey]=OutputTable[[#This Row],[GroupByKey]])*OutputTable[RecordedValue]))</f>
        <v>5970</v>
      </c>
      <c r="P11" cm="1">
        <f t="array" ref="P11">MAX(IF((OutputTable[GroupByKey]=OutputTable[[#This Row],[GroupByKey]]),(OutputTable[GroupByKey]=OutputTable[[#This Row],[GroupByKey]])*OutputTable[RecordedValue]))</f>
        <v>6018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6016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5984.6</v>
      </c>
      <c r="L12" cm="1">
        <f t="array" ref="L12">IFERROR(_xlfn.STDEV.S(IF((OutputTable[GroupByKey]=OutputTable[[#This Row],[GroupByKey]]),(OutputTable[GroupByKey]=OutputTable[[#This Row],[GroupByKey]])*OutputTable[RecordedValue])),0)</f>
        <v>18.105247858010671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22.480634443847659</v>
      </c>
      <c r="O12" cm="1">
        <f t="array" ref="O12">MIN(IF((OutputTable[GroupByKey]=OutputTable[[#This Row],[GroupByKey]]),(OutputTable[GroupByKey]=OutputTable[[#This Row],[GroupByKey]])*OutputTable[RecordedValue]))</f>
        <v>5970</v>
      </c>
      <c r="P12" cm="1">
        <f t="array" ref="P12">MAX(IF((OutputTable[GroupByKey]=OutputTable[[#This Row],[GroupByKey]]),(OutputTable[GroupByKey]=OutputTable[[#This Row],[GroupByKey]])*OutputTable[RecordedValue]))</f>
        <v>6016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6018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5984.8</v>
      </c>
      <c r="L13" cm="1">
        <f t="array" ref="L13">IFERROR(_xlfn.STDEV.S(IF((OutputTable[GroupByKey]=OutputTable[[#This Row],[GroupByKey]]),(OutputTable[GroupByKey]=OutputTable[[#This Row],[GroupByKey]])*OutputTable[RecordedValue])),0)</f>
        <v>19.070920271449936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13" cm="1">
        <f t="array" ref="O13">MIN(IF((OutputTable[GroupByKey]=OutputTable[[#This Row],[GroupByKey]]),(OutputTable[GroupByKey]=OutputTable[[#This Row],[GroupByKey]])*OutputTable[RecordedValue]))</f>
        <v>5970</v>
      </c>
      <c r="P13" cm="1">
        <f t="array" ref="P13">MAX(IF((OutputTable[GroupByKey]=OutputTable[[#This Row],[GroupByKey]]),(OutputTable[GroupByKey]=OutputTable[[#This Row],[GroupByKey]])*OutputTable[RecordedValue]))</f>
        <v>6018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85</v>
      </c>
      <c r="G14">
        <v>6018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5985</v>
      </c>
      <c r="L14" cm="1">
        <f t="array" ref="L14">IFERROR(_xlfn.STDEV.S(IF((OutputTable[GroupByKey]=OutputTable[[#This Row],[GroupByKey]]),(OutputTable[GroupByKey]=OutputTable[[#This Row],[GroupByKey]])*OutputTable[RecordedValue])),0)</f>
        <v>18.973665961010276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23.55891793773068</v>
      </c>
      <c r="O14" cm="1">
        <f t="array" ref="O14">MIN(IF((OutputTable[GroupByKey]=OutputTable[[#This Row],[GroupByKey]]),(OutputTable[GroupByKey]=OutputTable[[#This Row],[GroupByKey]])*OutputTable[RecordedValue]))</f>
        <v>5970</v>
      </c>
      <c r="P14" cm="1">
        <f t="array" ref="P14">MAX(IF((OutputTable[GroupByKey]=OutputTable[[#This Row],[GroupByKey]]),(OutputTable[GroupByKey]=OutputTable[[#This Row],[GroupByKey]])*OutputTable[RecordedValue]))</f>
        <v>6018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85</v>
      </c>
      <c r="G15">
        <v>0.702194207805517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0.70025856039642087</v>
      </c>
      <c r="L15" cm="1">
        <f t="array" ref="L15">IFERROR(_xlfn.STDEV.S(IF((OutputTable[GroupByKey]=OutputTable[[#This Row],[GroupByKey]]),(OutputTable[GroupByKey]=OutputTable[[#This Row],[GroupByKey]])*OutputTable[RecordedValue])),0)</f>
        <v>4.8194835670028443E-3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5.9841792350820893E-3</v>
      </c>
      <c r="O15" cm="1">
        <f t="array" ref="O15">MIN(IF((OutputTable[GroupByKey]=OutputTable[[#This Row],[GroupByKey]]),(OutputTable[GroupByKey]=OutputTable[[#This Row],[GroupByKey]])*OutputTable[RecordedValue]))</f>
        <v>0.69225903515128395</v>
      </c>
      <c r="P15" cm="1">
        <f t="array" ref="P15">MAX(IF((OutputTable[GroupByKey]=OutputTable[[#This Row],[GroupByKey]]),(OutputTable[GroupByKey]=OutputTable[[#This Row],[GroupByKey]])*OutputTable[RecordedValue]))</f>
        <v>0.70509920302947404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6018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5984.8</v>
      </c>
      <c r="L16" cm="1">
        <f t="array" ref="L16">IFERROR(_xlfn.STDEV.S(IF((OutputTable[GroupByKey]=OutputTable[[#This Row],[GroupByKey]]),(OutputTable[GroupByKey]=OutputTable[[#This Row],[GroupByKey]])*OutputTable[RecordedValue])),0)</f>
        <v>19.070920271449936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16" cm="1">
        <f t="array" ref="O16">MIN(IF((OutputTable[GroupByKey]=OutputTable[[#This Row],[GroupByKey]]),(OutputTable[GroupByKey]=OutputTable[[#This Row],[GroupByKey]])*OutputTable[RecordedValue]))</f>
        <v>5970</v>
      </c>
      <c r="P16" cm="1">
        <f t="array" ref="P16">MAX(IF((OutputTable[GroupByKey]=OutputTable[[#This Row],[GroupByKey]]),(OutputTable[GroupByKey]=OutputTable[[#This Row],[GroupByKey]])*OutputTable[RecordedValue]))</f>
        <v>6018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5976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ProjectPart.NumberInNumber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5984.6</v>
      </c>
      <c r="L17" cm="1">
        <f t="array" ref="L17">IFERROR(_xlfn.STDEV.S(IF((OutputTable[GroupByKey]=OutputTable[[#This Row],[GroupByKey]]),(OutputTable[GroupByKey]=OutputTable[[#This Row],[GroupByKey]])*OutputTable[RecordedValue])),0)</f>
        <v>18.105247858010671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22.480634443847659</v>
      </c>
      <c r="O17" cm="1">
        <f t="array" ref="O17">MIN(IF((OutputTable[GroupByKey]=OutputTable[[#This Row],[GroupByKey]]),(OutputTable[GroupByKey]=OutputTable[[#This Row],[GroupByKey]])*OutputTable[RecordedValue]))</f>
        <v>5970</v>
      </c>
      <c r="P17" cm="1">
        <f t="array" ref="P17">MAX(IF((OutputTable[GroupByKey]=OutputTable[[#This Row],[GroupByKey]]),(OutputTable[GroupByKey]=OutputTable[[#This Row],[GroupByKey]])*OutputTable[RecordedValue]))</f>
        <v>6016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5975</v>
      </c>
      <c r="H18">
        <v>0</v>
      </c>
      <c r="I18" t="str">
        <f>OutputTable[[#This Row],[ProjectName]]&amp;OutputTable[[#This Row],[Name]]&amp;OutputTable[[#This Row],[Type]]&amp;OutputTable[[#This Row],[Source]]</f>
        <v>Unnamed ProjectPart.NumberOutNumber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5984.8</v>
      </c>
      <c r="L18" cm="1">
        <f t="array" ref="L18">IFERROR(_xlfn.STDEV.S(IF((OutputTable[GroupByKey]=OutputTable[[#This Row],[GroupByKey]]),(OutputTable[GroupByKey]=OutputTable[[#This Row],[GroupByKey]])*OutputTable[RecordedValue])),0)</f>
        <v>19.070920271449936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18" cm="1">
        <f t="array" ref="O18">MIN(IF((OutputTable[GroupByKey]=OutputTable[[#This Row],[GroupByKey]]),(OutputTable[GroupByKey]=OutputTable[[#This Row],[GroupByKey]])*OutputTable[RecordedValue]))</f>
        <v>5970</v>
      </c>
      <c r="P18" cm="1">
        <f t="array" ref="P18">MAX(IF((OutputTable[GroupByKey]=OutputTable[[#This Row],[GroupByKey]]),(OutputTable[GroupByKey]=OutputTable[[#This Row],[GroupByKey]])*OutputTable[RecordedValue]))</f>
        <v>6018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85</v>
      </c>
      <c r="G19">
        <v>5976</v>
      </c>
      <c r="H19">
        <v>0</v>
      </c>
      <c r="I1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5985</v>
      </c>
      <c r="L19" cm="1">
        <f t="array" ref="L19">IFERROR(_xlfn.STDEV.S(IF((OutputTable[GroupByKey]=OutputTable[[#This Row],[GroupByKey]]),(OutputTable[GroupByKey]=OutputTable[[#This Row],[GroupByKey]])*OutputTable[RecordedValue])),0)</f>
        <v>18.973665961010276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23.55891793773068</v>
      </c>
      <c r="O19" cm="1">
        <f t="array" ref="O19">MIN(IF((OutputTable[GroupByKey]=OutputTable[[#This Row],[GroupByKey]]),(OutputTable[GroupByKey]=OutputTable[[#This Row],[GroupByKey]])*OutputTable[RecordedValue]))</f>
        <v>5970</v>
      </c>
      <c r="P19" cm="1">
        <f t="array" ref="P19">MAX(IF((OutputTable[GroupByKey]=OutputTable[[#This Row],[GroupByKey]]),(OutputTable[GroupByKey]=OutputTable[[#This Row],[GroupByKey]])*OutputTable[RecordedValue]))</f>
        <v>6018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85</v>
      </c>
      <c r="G20">
        <v>0.70509920302947404</v>
      </c>
      <c r="H20">
        <v>0</v>
      </c>
      <c r="I2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0.70025856039642087</v>
      </c>
      <c r="L20" cm="1">
        <f t="array" ref="L20">IFERROR(_xlfn.STDEV.S(IF((OutputTable[GroupByKey]=OutputTable[[#This Row],[GroupByKey]]),(OutputTable[GroupByKey]=OutputTable[[#This Row],[GroupByKey]])*OutputTable[RecordedValue])),0)</f>
        <v>4.8194835670028443E-3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5.9841792350820893E-3</v>
      </c>
      <c r="O20" cm="1">
        <f t="array" ref="O20">MIN(IF((OutputTable[GroupByKey]=OutputTable[[#This Row],[GroupByKey]]),(OutputTable[GroupByKey]=OutputTable[[#This Row],[GroupByKey]])*OutputTable[RecordedValue]))</f>
        <v>0.69225903515128395</v>
      </c>
      <c r="P20" cm="1">
        <f t="array" ref="P20">MAX(IF((OutputTable[GroupByKey]=OutputTable[[#This Row],[GroupByKey]]),(OutputTable[GroupByKey]=OutputTable[[#This Row],[GroupByKey]])*OutputTable[RecordedValue]))</f>
        <v>0.70509920302947404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5975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5984.8</v>
      </c>
      <c r="L21" cm="1">
        <f t="array" ref="L21">IFERROR(_xlfn.STDEV.S(IF((OutputTable[GroupByKey]=OutputTable[[#This Row],[GroupByKey]]),(OutputTable[GroupByKey]=OutputTable[[#This Row],[GroupByKey]])*OutputTable[RecordedValue])),0)</f>
        <v>19.070920271449936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21" cm="1">
        <f t="array" ref="O21">MIN(IF((OutputTable[GroupByKey]=OutputTable[[#This Row],[GroupByKey]]),(OutputTable[GroupByKey]=OutputTable[[#This Row],[GroupByKey]])*OutputTable[RecordedValue]))</f>
        <v>5970</v>
      </c>
      <c r="P21" cm="1">
        <f t="array" ref="P21">MAX(IF((OutputTable[GroupByKey]=OutputTable[[#This Row],[GroupByKey]]),(OutputTable[GroupByKey]=OutputTable[[#This Row],[GroupByKey]])*OutputTable[RecordedValue]))</f>
        <v>6018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5970</v>
      </c>
      <c r="H22">
        <v>0</v>
      </c>
      <c r="I22" t="str">
        <f>OutputTable[[#This Row],[ProjectName]]&amp;OutputTable[[#This Row],[Name]]&amp;OutputTable[[#This Row],[Type]]&amp;OutputTable[[#This Row],[Source]]</f>
        <v>Unnamed ProjectPart.NumberInNumber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5984.6</v>
      </c>
      <c r="L22" cm="1">
        <f t="array" ref="L22">IFERROR(_xlfn.STDEV.S(IF((OutputTable[GroupByKey]=OutputTable[[#This Row],[GroupByKey]]),(OutputTable[GroupByKey]=OutputTable[[#This Row],[GroupByKey]])*OutputTable[RecordedValue])),0)</f>
        <v>18.105247858010671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22.480634443847659</v>
      </c>
      <c r="O22" cm="1">
        <f t="array" ref="O22">MIN(IF((OutputTable[GroupByKey]=OutputTable[[#This Row],[GroupByKey]]),(OutputTable[GroupByKey]=OutputTable[[#This Row],[GroupByKey]])*OutputTable[RecordedValue]))</f>
        <v>5970</v>
      </c>
      <c r="P22" cm="1">
        <f t="array" ref="P22">MAX(IF((OutputTable[GroupByKey]=OutputTable[[#This Row],[GroupByKey]]),(OutputTable[GroupByKey]=OutputTable[[#This Row],[GroupByKey]])*OutputTable[RecordedValue]))</f>
        <v>6016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5970</v>
      </c>
      <c r="H23">
        <v>0</v>
      </c>
      <c r="I23" t="str">
        <f>OutputTable[[#This Row],[ProjectName]]&amp;OutputTable[[#This Row],[Name]]&amp;OutputTable[[#This Row],[Type]]&amp;OutputTable[[#This Row],[Source]]</f>
        <v>Unnamed ProjectPart.NumberOutNumber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5984.8</v>
      </c>
      <c r="L23" cm="1">
        <f t="array" ref="L23">IFERROR(_xlfn.STDEV.S(IF((OutputTable[GroupByKey]=OutputTable[[#This Row],[GroupByKey]]),(OutputTable[GroupByKey]=OutputTable[[#This Row],[GroupByKey]])*OutputTable[RecordedValue])),0)</f>
        <v>19.070920271449936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23" cm="1">
        <f t="array" ref="O23">MIN(IF((OutputTable[GroupByKey]=OutputTable[[#This Row],[GroupByKey]]),(OutputTable[GroupByKey]=OutputTable[[#This Row],[GroupByKey]])*OutputTable[RecordedValue]))</f>
        <v>5970</v>
      </c>
      <c r="P23" cm="1">
        <f t="array" ref="P23">MAX(IF((OutputTable[GroupByKey]=OutputTable[[#This Row],[GroupByKey]]),(OutputTable[GroupByKey]=OutputTable[[#This Row],[GroupByKey]])*OutputTable[RecordedValue]))</f>
        <v>6018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85</v>
      </c>
      <c r="G24">
        <v>5970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5985</v>
      </c>
      <c r="L24" cm="1">
        <f t="array" ref="L24">IFERROR(_xlfn.STDEV.S(IF((OutputTable[GroupByKey]=OutputTable[[#This Row],[GroupByKey]]),(OutputTable[GroupByKey]=OutputTable[[#This Row],[GroupByKey]])*OutputTable[RecordedValue])),0)</f>
        <v>18.973665961010276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23.55891793773068</v>
      </c>
      <c r="O24" cm="1">
        <f t="array" ref="O24">MIN(IF((OutputTable[GroupByKey]=OutputTable[[#This Row],[GroupByKey]]),(OutputTable[GroupByKey]=OutputTable[[#This Row],[GroupByKey]])*OutputTable[RecordedValue]))</f>
        <v>5970</v>
      </c>
      <c r="P24" cm="1">
        <f t="array" ref="P24">MAX(IF((OutputTable[GroupByKey]=OutputTable[[#This Row],[GroupByKey]]),(OutputTable[GroupByKey]=OutputTable[[#This Row],[GroupByKey]])*OutputTable[RecordedValue]))</f>
        <v>6018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85</v>
      </c>
      <c r="G25">
        <v>0.69225903515128395</v>
      </c>
      <c r="H25">
        <v>0</v>
      </c>
      <c r="I2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0.70025856039642087</v>
      </c>
      <c r="L25" cm="1">
        <f t="array" ref="L25">IFERROR(_xlfn.STDEV.S(IF((OutputTable[GroupByKey]=OutputTable[[#This Row],[GroupByKey]]),(OutputTable[GroupByKey]=OutputTable[[#This Row],[GroupByKey]])*OutputTable[RecordedValue])),0)</f>
        <v>4.8194835670028443E-3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5.9841792350820893E-3</v>
      </c>
      <c r="O25" cm="1">
        <f t="array" ref="O25">MIN(IF((OutputTable[GroupByKey]=OutputTable[[#This Row],[GroupByKey]]),(OutputTable[GroupByKey]=OutputTable[[#This Row],[GroupByKey]])*OutputTable[RecordedValue]))</f>
        <v>0.69225903515128395</v>
      </c>
      <c r="P25" cm="1">
        <f t="array" ref="P25">MAX(IF((OutputTable[GroupByKey]=OutputTable[[#This Row],[GroupByKey]]),(OutputTable[GroupByKey]=OutputTable[[#This Row],[GroupByKey]])*OutputTable[RecordedValue]))</f>
        <v>0.70509920302947404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5970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5984.8</v>
      </c>
      <c r="L26" cm="1">
        <f t="array" ref="L26">IFERROR(_xlfn.STDEV.S(IF((OutputTable[GroupByKey]=OutputTable[[#This Row],[GroupByKey]]),(OutputTable[GroupByKey]=OutputTable[[#This Row],[GroupByKey]])*OutputTable[RecordedValue])),0)</f>
        <v>19.070920271449936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23.679675113673735</v>
      </c>
      <c r="O26" cm="1">
        <f t="array" ref="O26">MIN(IF((OutputTable[GroupByKey]=OutputTable[[#This Row],[GroupByKey]]),(OutputTable[GroupByKey]=OutputTable[[#This Row],[GroupByKey]])*OutputTable[RecordedValue]))</f>
        <v>5970</v>
      </c>
      <c r="P26" cm="1">
        <f t="array" ref="P26">MAX(IF((OutputTable[GroupByKey]=OutputTable[[#This Row],[GroupByKey]]),(OutputTable[GroupByKey]=OutputTable[[#This Row],[GroupByKey]])*OutputTable[RecordedValue]))</f>
        <v>6018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