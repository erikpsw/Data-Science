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0339FA7D-E796-428B-A937-D2328192ABCC}" xr6:coauthVersionLast="47" xr6:coauthVersionMax="47" xr10:uidLastSave="{00000000-0000-0000-0000-000000000000}"/>
  <bookViews>
    <workbookView xWindow="1860" yWindow="1860" windowWidth="19200" windowHeight="111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DiscreteTimeStatsByRep!$A$1:$K$31</definedName>
    <definedName name="ExternalData_1" localSheetId="6" hidden="1">FrequencyStatsByRep!$A$1:$K$2</definedName>
    <definedName name="ExternalData_1" localSheetId="5" hidden="1">OutputStatsByRep!$A$1:$H$16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K3" i="20" s="1" a="1"/>
  <c r="K3" i="20" s="1"/>
  <c r="I13" i="20"/>
  <c r="I14" i="20"/>
  <c r="K9" i="20" s="1" a="1"/>
  <c r="K9" i="20" s="1"/>
  <c r="I15" i="20"/>
  <c r="O15" i="20" s="1" a="1"/>
  <c r="O15" i="20" s="1"/>
  <c r="I16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/>
  <c r="J8" i="20" a="1"/>
  <c r="J8" i="20"/>
  <c r="J9" i="20" a="1"/>
  <c r="J9" i="20"/>
  <c r="J10" i="20" a="1"/>
  <c r="J10" i="20" s="1"/>
  <c r="J11" i="20" a="1"/>
  <c r="J11" i="20"/>
  <c r="J12" i="20" a="1"/>
  <c r="J12" i="20" s="1"/>
  <c r="J13" i="20" a="1"/>
  <c r="J13" i="20"/>
  <c r="J14" i="20" a="1"/>
  <c r="J14" i="20" s="1"/>
  <c r="J15" i="20" a="1"/>
  <c r="J15" i="20" s="1"/>
  <c r="J16" i="20" a="1"/>
  <c r="J16" i="20"/>
  <c r="M2" i="20" a="1"/>
  <c r="M2" i="20" s="1"/>
  <c r="M3" i="20" a="1"/>
  <c r="M3" i="20" s="1"/>
  <c r="M4" i="20" a="1"/>
  <c r="M4" i="20"/>
  <c r="M5" i="20" a="1"/>
  <c r="M5" i="20" s="1"/>
  <c r="M6" i="20" a="1"/>
  <c r="M6" i="20"/>
  <c r="M7" i="20" a="1"/>
  <c r="M7" i="20" s="1"/>
  <c r="M8" i="20" a="1"/>
  <c r="M8" i="20" s="1"/>
  <c r="M9" i="20" a="1"/>
  <c r="M9" i="20"/>
  <c r="M10" i="20" a="1"/>
  <c r="M10" i="20"/>
  <c r="M11" i="20" a="1"/>
  <c r="M11" i="20"/>
  <c r="M12" i="20" a="1"/>
  <c r="M12" i="20"/>
  <c r="M13" i="20" a="1"/>
  <c r="M13" i="20" s="1"/>
  <c r="M14" i="20" a="1"/>
  <c r="M14" i="20"/>
  <c r="M15" i="20" a="1"/>
  <c r="M15" i="20" s="1"/>
  <c r="M16" i="20" a="1"/>
  <c r="M16" i="20" s="1"/>
  <c r="M2" i="18"/>
  <c r="M3" i="18"/>
  <c r="M4" i="18"/>
  <c r="T4" i="18" s="1" a="1"/>
  <c r="T4" i="18" s="1"/>
  <c r="M5" i="18"/>
  <c r="O3" i="18" s="1" a="1"/>
  <c r="O3" i="18" s="1"/>
  <c r="M6" i="18"/>
  <c r="P6" i="18" s="1" a="1"/>
  <c r="P6" i="18" s="1"/>
  <c r="N2" i="18" a="1"/>
  <c r="N2" i="18" s="1"/>
  <c r="N3" i="18" a="1"/>
  <c r="N3" i="18"/>
  <c r="N4" i="18" a="1"/>
  <c r="N4" i="18" s="1"/>
  <c r="N5" i="18" a="1"/>
  <c r="N5" i="18" s="1"/>
  <c r="R5" i="18" s="1"/>
  <c r="N6" i="18" a="1"/>
  <c r="N6" i="18" s="1"/>
  <c r="O2" i="18" a="1"/>
  <c r="O2" i="18" s="1"/>
  <c r="O6" i="18" a="1"/>
  <c r="O6" i="18" s="1"/>
  <c r="P2" i="18" a="1"/>
  <c r="P2" i="18" s="1"/>
  <c r="P3" i="18" a="1"/>
  <c r="P3" i="18" s="1"/>
  <c r="P4" i="18" a="1"/>
  <c r="P4" i="18" s="1"/>
  <c r="P5" i="18" a="1"/>
  <c r="P5" i="18" s="1"/>
  <c r="Q2" i="18" a="1"/>
  <c r="Q2" i="18" s="1"/>
  <c r="Q3" i="18" a="1"/>
  <c r="Q3" i="18" s="1"/>
  <c r="Q4" i="18" a="1"/>
  <c r="Q4" i="18" s="1"/>
  <c r="Q5" i="18" a="1"/>
  <c r="Q5" i="18"/>
  <c r="Q6" i="18" a="1"/>
  <c r="Q6" i="18" s="1"/>
  <c r="S3" i="18" a="1"/>
  <c r="S3" i="18" s="1"/>
  <c r="S5" i="18" a="1"/>
  <c r="S5" i="18" s="1"/>
  <c r="S6" i="18" a="1"/>
  <c r="S6" i="18" s="1"/>
  <c r="T2" i="18" a="1"/>
  <c r="T2" i="18" s="1"/>
  <c r="T3" i="18" a="1"/>
  <c r="T3" i="18"/>
  <c r="T6" i="18" a="1"/>
  <c r="T6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V17" i="17" s="1" a="1"/>
  <c r="V17" i="17" s="1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/>
  <c r="M9" i="17" a="1"/>
  <c r="M9" i="17"/>
  <c r="M10" i="17" a="1"/>
  <c r="M10" i="17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/>
  <c r="M18" i="17" a="1"/>
  <c r="M18" i="17" s="1"/>
  <c r="M19" i="17" a="1"/>
  <c r="M19" i="17" s="1"/>
  <c r="M20" i="17" a="1"/>
  <c r="M20" i="17" s="1"/>
  <c r="M21" i="17" a="1"/>
  <c r="M21" i="17" s="1"/>
  <c r="M22" i="17" a="1"/>
  <c r="M22" i="17"/>
  <c r="M23" i="17" a="1"/>
  <c r="M23" i="17" s="1"/>
  <c r="M24" i="17" a="1"/>
  <c r="M24" i="17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/>
  <c r="P13" i="17" a="1"/>
  <c r="P13" i="17" s="1"/>
  <c r="P14" i="17" a="1"/>
  <c r="P14" i="17" s="1"/>
  <c r="P15" i="17" a="1"/>
  <c r="P15" i="17"/>
  <c r="P16" i="17" a="1"/>
  <c r="P16" i="17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/>
  <c r="P29" i="17" a="1"/>
  <c r="P29" i="17" s="1"/>
  <c r="P30" i="17" a="1"/>
  <c r="P30" i="17" s="1"/>
  <c r="P31" i="17" a="1"/>
  <c r="P31" i="17"/>
  <c r="G2" i="16"/>
  <c r="P16" i="20" l="1" a="1"/>
  <c r="P16" i="20" s="1"/>
  <c r="L4" i="20" a="1"/>
  <c r="L4" i="20" s="1"/>
  <c r="O3" i="20" a="1"/>
  <c r="O3" i="20" s="1"/>
  <c r="O9" i="20" a="1"/>
  <c r="O9" i="20" s="1"/>
  <c r="O14" i="20" a="1"/>
  <c r="O14" i="20" s="1"/>
  <c r="P8" i="20" a="1"/>
  <c r="P8" i="20" s="1"/>
  <c r="L12" i="20" a="1"/>
  <c r="L12" i="20" s="1"/>
  <c r="K11" i="20" a="1"/>
  <c r="K11" i="20" s="1"/>
  <c r="P15" i="20" a="1"/>
  <c r="P15" i="20" s="1"/>
  <c r="O7" i="20" a="1"/>
  <c r="O7" i="20" s="1"/>
  <c r="L13" i="20" a="1"/>
  <c r="L13" i="20" s="1"/>
  <c r="N13" i="20" s="1"/>
  <c r="P3" i="20" a="1"/>
  <c r="P3" i="20" s="1"/>
  <c r="K5" i="20" a="1"/>
  <c r="K5" i="20" s="1"/>
  <c r="P7" i="20" a="1"/>
  <c r="P7" i="20" s="1"/>
  <c r="K4" i="20" a="1"/>
  <c r="K4" i="20" s="1"/>
  <c r="K12" i="20" a="1"/>
  <c r="K12" i="20" s="1"/>
  <c r="O6" i="20" a="1"/>
  <c r="O6" i="20" s="1"/>
  <c r="N4" i="20"/>
  <c r="N12" i="20"/>
  <c r="K2" i="20" a="1"/>
  <c r="K2" i="20" s="1"/>
  <c r="L2" i="20" a="1"/>
  <c r="L2" i="20" s="1"/>
  <c r="N2" i="20" s="1"/>
  <c r="L9" i="20" a="1"/>
  <c r="L9" i="20" s="1"/>
  <c r="N9" i="20" s="1"/>
  <c r="L8" i="20" a="1"/>
  <c r="L8" i="20" s="1"/>
  <c r="N8" i="20" s="1"/>
  <c r="K15" i="20" a="1"/>
  <c r="K15" i="20" s="1"/>
  <c r="K7" i="20" a="1"/>
  <c r="K7" i="20" s="1"/>
  <c r="L3" i="20" a="1"/>
  <c r="L3" i="20" s="1"/>
  <c r="N3" i="20" s="1"/>
  <c r="O13" i="20" a="1"/>
  <c r="O13" i="20" s="1"/>
  <c r="P5" i="20" a="1"/>
  <c r="P5" i="20" s="1"/>
  <c r="O2" i="20" a="1"/>
  <c r="O2" i="20" s="1"/>
  <c r="P6" i="20" a="1"/>
  <c r="P6" i="20" s="1"/>
  <c r="K8" i="20" a="1"/>
  <c r="K8" i="20" s="1"/>
  <c r="P12" i="20" a="1"/>
  <c r="P12" i="20" s="1"/>
  <c r="K6" i="20" a="1"/>
  <c r="K6" i="20" s="1"/>
  <c r="K10" i="20" a="1"/>
  <c r="K10" i="20" s="1"/>
  <c r="O4" i="20" a="1"/>
  <c r="O4" i="20" s="1"/>
  <c r="K16" i="20" a="1"/>
  <c r="K16" i="20" s="1"/>
  <c r="L7" i="20" a="1"/>
  <c r="L7" i="20" s="1"/>
  <c r="N7" i="20" s="1"/>
  <c r="K14" i="20" a="1"/>
  <c r="K14" i="20" s="1"/>
  <c r="P10" i="20" a="1"/>
  <c r="P10" i="20" s="1"/>
  <c r="P2" i="20" a="1"/>
  <c r="P2" i="20" s="1"/>
  <c r="O5" i="20" a="1"/>
  <c r="O5" i="20" s="1"/>
  <c r="P4" i="20" a="1"/>
  <c r="P4" i="20" s="1"/>
  <c r="P11" i="20" a="1"/>
  <c r="P11" i="20" s="1"/>
  <c r="L14" i="20" a="1"/>
  <c r="L14" i="20" s="1"/>
  <c r="N14" i="20" s="1"/>
  <c r="L10" i="20" a="1"/>
  <c r="L10" i="20" s="1"/>
  <c r="N10" i="20" s="1"/>
  <c r="O11" i="20" a="1"/>
  <c r="O11" i="20" s="1"/>
  <c r="L16" i="20" a="1"/>
  <c r="L16" i="20" s="1"/>
  <c r="N16" i="20" s="1"/>
  <c r="K13" i="20" a="1"/>
  <c r="K13" i="20" s="1"/>
  <c r="P14" i="20" a="1"/>
  <c r="P14" i="20" s="1"/>
  <c r="P13" i="20" a="1"/>
  <c r="P13" i="20" s="1"/>
  <c r="O10" i="20" a="1"/>
  <c r="O10" i="20" s="1"/>
  <c r="L15" i="20" a="1"/>
  <c r="L15" i="20" s="1"/>
  <c r="N15" i="20" s="1"/>
  <c r="P9" i="20" a="1"/>
  <c r="P9" i="20" s="1"/>
  <c r="O8" i="20" a="1"/>
  <c r="O8" i="20" s="1"/>
  <c r="L5" i="20" a="1"/>
  <c r="L5" i="20" s="1"/>
  <c r="N5" i="20" s="1"/>
  <c r="L11" i="20" a="1"/>
  <c r="L11" i="20" s="1"/>
  <c r="N11" i="20" s="1"/>
  <c r="O12" i="20" a="1"/>
  <c r="O12" i="20" s="1"/>
  <c r="L6" i="20" a="1"/>
  <c r="L6" i="20" s="1"/>
  <c r="N6" i="20" s="1"/>
  <c r="O16" i="20" a="1"/>
  <c r="O16" i="20" s="1"/>
  <c r="R4" i="18"/>
  <c r="U4" i="18" s="1"/>
  <c r="R2" i="18"/>
  <c r="U2" i="18" s="1"/>
  <c r="R6" i="18"/>
  <c r="U6" i="18" s="1"/>
  <c r="R3" i="18"/>
  <c r="U3" i="18" s="1"/>
  <c r="U5" i="18"/>
  <c r="S4" i="18" a="1"/>
  <c r="S4" i="18" s="1"/>
  <c r="O5" i="18" a="1"/>
  <c r="O5" i="18" s="1"/>
  <c r="O4" i="18" a="1"/>
  <c r="O4" i="18" s="1"/>
  <c r="S2" i="18" a="1"/>
  <c r="S2" i="18" s="1"/>
  <c r="T5" i="18" a="1"/>
  <c r="T5" i="18" s="1"/>
  <c r="O4" i="17" a="1"/>
  <c r="O4" i="17" s="1"/>
  <c r="O16" i="17" a="1"/>
  <c r="O16" i="17" s="1"/>
  <c r="X16" i="17" a="1"/>
  <c r="X16" i="17" s="1"/>
  <c r="S16" i="17" a="1"/>
  <c r="S16" i="17" s="1"/>
  <c r="N16" i="17" a="1"/>
  <c r="N16" i="17" s="1"/>
  <c r="S5" i="17" a="1"/>
  <c r="S5" i="17" s="1"/>
  <c r="X21" i="17" a="1"/>
  <c r="X21" i="17" s="1"/>
  <c r="R19" i="17" a="1"/>
  <c r="R19" i="17" s="1"/>
  <c r="X7" i="17" a="1"/>
  <c r="X7" i="17" s="1"/>
  <c r="Y7" i="17" s="1"/>
  <c r="R3" i="17" a="1"/>
  <c r="R3" i="17" s="1"/>
  <c r="U18" i="17" a="1"/>
  <c r="U18" i="17" s="1"/>
  <c r="T16" i="17" a="1"/>
  <c r="T16" i="17" s="1"/>
  <c r="V2" i="17" a="1"/>
  <c r="V2" i="17" s="1"/>
  <c r="U16" i="17" a="1"/>
  <c r="U16" i="17" s="1"/>
  <c r="V16" i="17" a="1"/>
  <c r="V16" i="17" s="1"/>
  <c r="V27" i="17" a="1"/>
  <c r="V27" i="17" s="1"/>
  <c r="R16" i="17" a="1"/>
  <c r="R16" i="17" s="1"/>
  <c r="S21" i="17" a="1"/>
  <c r="S21" i="17" s="1"/>
  <c r="S13" i="17" a="1"/>
  <c r="S13" i="17" s="1"/>
  <c r="T7" i="17" a="1"/>
  <c r="T7" i="17" s="1"/>
  <c r="S26" i="17" a="1"/>
  <c r="S26" i="17" s="1"/>
  <c r="S10" i="17" a="1"/>
  <c r="S10" i="17" s="1"/>
  <c r="O3" i="17" a="1"/>
  <c r="O3" i="17" s="1"/>
  <c r="S29" i="17" a="1"/>
  <c r="S29" i="17" s="1"/>
  <c r="S11" i="17" a="1"/>
  <c r="S11" i="17" s="1"/>
  <c r="R24" i="17" a="1"/>
  <c r="R24" i="17" s="1"/>
  <c r="T31" i="17" a="1"/>
  <c r="T31" i="17" s="1"/>
  <c r="N2" i="17" a="1"/>
  <c r="N2" i="17" s="1"/>
  <c r="R27" i="17" a="1"/>
  <c r="R27" i="17" s="1"/>
  <c r="V28" i="17" a="1"/>
  <c r="V28" i="17" s="1"/>
  <c r="Y16" i="17"/>
  <c r="Q16" i="17" s="1"/>
  <c r="W16" i="17" s="1"/>
  <c r="X22" i="17" a="1"/>
  <c r="X22" i="17" s="1"/>
  <c r="Y22" i="17" s="1"/>
  <c r="Q22" i="17" s="1"/>
  <c r="W22" i="17" s="1"/>
  <c r="S28" i="17" a="1"/>
  <c r="S28" i="17" s="1"/>
  <c r="R8" i="17" a="1"/>
  <c r="R8" i="17" s="1"/>
  <c r="U7" i="17" a="1"/>
  <c r="U7" i="17" s="1"/>
  <c r="O30" i="17" a="1"/>
  <c r="O30" i="17" s="1"/>
  <c r="T22" i="17" a="1"/>
  <c r="T22" i="17" s="1"/>
  <c r="T12" i="17" a="1"/>
  <c r="T12" i="17" s="1"/>
  <c r="O20" i="17" a="1"/>
  <c r="O20" i="17" s="1"/>
  <c r="T17" i="17" a="1"/>
  <c r="T17" i="17" s="1"/>
  <c r="X17" i="17" a="1"/>
  <c r="X17" i="17" s="1"/>
  <c r="Y17" i="17" s="1"/>
  <c r="O17" i="17" a="1"/>
  <c r="O17" i="17" s="1"/>
  <c r="S17" i="17" a="1"/>
  <c r="S17" i="17" s="1"/>
  <c r="U17" i="17" a="1"/>
  <c r="U17" i="17" s="1"/>
  <c r="N17" i="17" a="1"/>
  <c r="N17" i="17" s="1"/>
  <c r="R17" i="17" a="1"/>
  <c r="R17" i="17" s="1"/>
  <c r="N18" i="17" a="1"/>
  <c r="N18" i="17" s="1"/>
  <c r="S20" i="17" a="1"/>
  <c r="S20" i="17" s="1"/>
  <c r="X11" i="17" a="1"/>
  <c r="X11" i="17" s="1"/>
  <c r="V3" i="17" a="1"/>
  <c r="V3" i="17" s="1"/>
  <c r="U22" i="17" a="1"/>
  <c r="U22" i="17" s="1"/>
  <c r="U6" i="17" a="1"/>
  <c r="U6" i="17" s="1"/>
  <c r="X6" i="17" a="1"/>
  <c r="X6" i="17" s="1"/>
  <c r="Y6" i="17" s="1"/>
  <c r="R18" i="17" a="1"/>
  <c r="R18" i="17" s="1"/>
  <c r="N28" i="17" a="1"/>
  <c r="N28" i="17" s="1"/>
  <c r="V25" i="17" a="1"/>
  <c r="V25" i="17" s="1"/>
  <c r="U30" i="17" a="1"/>
  <c r="U30" i="17" s="1"/>
  <c r="T4" i="17" a="1"/>
  <c r="T4" i="17" s="1"/>
  <c r="O29" i="17" a="1"/>
  <c r="O29" i="17" s="1"/>
  <c r="O13" i="17" a="1"/>
  <c r="O13" i="17" s="1"/>
  <c r="N27" i="17" a="1"/>
  <c r="N27" i="17" s="1"/>
  <c r="N11" i="17" a="1"/>
  <c r="N11" i="17" s="1"/>
  <c r="X26" i="17" a="1"/>
  <c r="X26" i="17" s="1"/>
  <c r="Y26" i="17" s="1"/>
  <c r="Q26" i="17" s="1"/>
  <c r="W26" i="17" s="1"/>
  <c r="T26" i="17" a="1"/>
  <c r="T26" i="17" s="1"/>
  <c r="O26" i="17" a="1"/>
  <c r="O26" i="17" s="1"/>
  <c r="T10" i="17" a="1"/>
  <c r="T10" i="17" s="1"/>
  <c r="O10" i="17" a="1"/>
  <c r="O10" i="17" s="1"/>
  <c r="X10" i="17" a="1"/>
  <c r="X10" i="17" s="1"/>
  <c r="Y10" i="17" s="1"/>
  <c r="X29" i="17" a="1"/>
  <c r="X29" i="17" s="1"/>
  <c r="Y29" i="17" s="1"/>
  <c r="X15" i="17" a="1"/>
  <c r="X15" i="17" s="1"/>
  <c r="Y15" i="17" s="1"/>
  <c r="V24" i="17" a="1"/>
  <c r="V24" i="17" s="1"/>
  <c r="V10" i="17" a="1"/>
  <c r="V10" i="17" s="1"/>
  <c r="U26" i="17" a="1"/>
  <c r="U26" i="17" s="1"/>
  <c r="U15" i="17" a="1"/>
  <c r="U15" i="17" s="1"/>
  <c r="T30" i="17" a="1"/>
  <c r="T30" i="17" s="1"/>
  <c r="T15" i="17" a="1"/>
  <c r="T15" i="17" s="1"/>
  <c r="S30" i="17" a="1"/>
  <c r="S30" i="17" s="1"/>
  <c r="S2" i="17" a="1"/>
  <c r="S2" i="17" s="1"/>
  <c r="N5" i="17" a="1"/>
  <c r="N5" i="17" s="1"/>
  <c r="O28" i="17" a="1"/>
  <c r="O28" i="17" s="1"/>
  <c r="O12" i="17" a="1"/>
  <c r="O12" i="17" s="1"/>
  <c r="N26" i="17" a="1"/>
  <c r="N26" i="17" s="1"/>
  <c r="N10" i="17" a="1"/>
  <c r="N10" i="17" s="1"/>
  <c r="X28" i="17" a="1"/>
  <c r="X28" i="17" s="1"/>
  <c r="Y28" i="17" s="1"/>
  <c r="X14" i="17" a="1"/>
  <c r="X14" i="17" s="1"/>
  <c r="Y14" i="17" s="1"/>
  <c r="X3" i="17" a="1"/>
  <c r="X3" i="17" s="1"/>
  <c r="Y3" i="17" s="1"/>
  <c r="Q3" i="17" s="1"/>
  <c r="W3" i="17" s="1"/>
  <c r="V20" i="17" a="1"/>
  <c r="V20" i="17" s="1"/>
  <c r="V9" i="17" a="1"/>
  <c r="V9" i="17" s="1"/>
  <c r="U25" i="17" a="1"/>
  <c r="U25" i="17" s="1"/>
  <c r="U14" i="17" a="1"/>
  <c r="U14" i="17" s="1"/>
  <c r="T29" i="17" a="1"/>
  <c r="T29" i="17" s="1"/>
  <c r="T14" i="17" a="1"/>
  <c r="T14" i="17" s="1"/>
  <c r="R11" i="17" a="1"/>
  <c r="R11" i="17" s="1"/>
  <c r="T21" i="17" a="1"/>
  <c r="T21" i="17" s="1"/>
  <c r="U2" i="17" a="1"/>
  <c r="U2" i="17" s="1"/>
  <c r="N29" i="17" a="1"/>
  <c r="N29" i="17" s="1"/>
  <c r="R29" i="17" a="1"/>
  <c r="R29" i="17" s="1"/>
  <c r="V29" i="17" a="1"/>
  <c r="V29" i="17" s="1"/>
  <c r="U29" i="17" a="1"/>
  <c r="U29" i="17" s="1"/>
  <c r="X5" i="17" a="1"/>
  <c r="X5" i="17" s="1"/>
  <c r="Y5" i="17" s="1"/>
  <c r="U27" i="17" a="1"/>
  <c r="U27" i="17" s="1"/>
  <c r="T27" i="17" a="1"/>
  <c r="T27" i="17" s="1"/>
  <c r="X4" i="17" a="1"/>
  <c r="X4" i="17" s="1"/>
  <c r="Y4" i="17" s="1"/>
  <c r="Q4" i="17" s="1"/>
  <c r="W4" i="17" s="1"/>
  <c r="S18" i="17" a="1"/>
  <c r="S18" i="17" s="1"/>
  <c r="T25" i="17" a="1"/>
  <c r="T25" i="17" s="1"/>
  <c r="U10" i="17" a="1"/>
  <c r="U10" i="17" s="1"/>
  <c r="O27" i="17" a="1"/>
  <c r="O27" i="17" s="1"/>
  <c r="O11" i="17" a="1"/>
  <c r="O11" i="17" s="1"/>
  <c r="N25" i="17" a="1"/>
  <c r="N25" i="17" s="1"/>
  <c r="N9" i="17" a="1"/>
  <c r="N9" i="17" s="1"/>
  <c r="R2" i="17" a="1"/>
  <c r="R2" i="17" s="1"/>
  <c r="N13" i="17" a="1"/>
  <c r="N13" i="17" s="1"/>
  <c r="R13" i="17" a="1"/>
  <c r="R13" i="17" s="1"/>
  <c r="V13" i="17" a="1"/>
  <c r="V13" i="17" s="1"/>
  <c r="U13" i="17" a="1"/>
  <c r="U13" i="17" s="1"/>
  <c r="X19" i="17" a="1"/>
  <c r="X19" i="17" s="1"/>
  <c r="Y19" i="17" s="1"/>
  <c r="X13" i="17" a="1"/>
  <c r="X13" i="17" s="1"/>
  <c r="Y13" i="17" s="1"/>
  <c r="V19" i="17" a="1"/>
  <c r="V19" i="17" s="1"/>
  <c r="V8" i="17" a="1"/>
  <c r="V8" i="17" s="1"/>
  <c r="U24" i="17" a="1"/>
  <c r="U24" i="17" s="1"/>
  <c r="T28" i="17" a="1"/>
  <c r="T28" i="17" s="1"/>
  <c r="T13" i="17" a="1"/>
  <c r="T13" i="17" s="1"/>
  <c r="S12" i="17" a="1"/>
  <c r="S12" i="17" s="1"/>
  <c r="R26" i="17" a="1"/>
  <c r="R26" i="17" s="1"/>
  <c r="R10" i="17" a="1"/>
  <c r="R10" i="17" s="1"/>
  <c r="O31" i="17" a="1"/>
  <c r="O31" i="17" s="1"/>
  <c r="S31" i="17" a="1"/>
  <c r="S31" i="17" s="1"/>
  <c r="N31" i="17" a="1"/>
  <c r="N31" i="17" s="1"/>
  <c r="R31" i="17" a="1"/>
  <c r="R31" i="17" s="1"/>
  <c r="V31" i="17" a="1"/>
  <c r="V31" i="17" s="1"/>
  <c r="O15" i="17" a="1"/>
  <c r="O15" i="17" s="1"/>
  <c r="S15" i="17" a="1"/>
  <c r="S15" i="17" s="1"/>
  <c r="N15" i="17" a="1"/>
  <c r="N15" i="17" s="1"/>
  <c r="V15" i="17" a="1"/>
  <c r="V15" i="17" s="1"/>
  <c r="R15" i="17" a="1"/>
  <c r="R15" i="17" s="1"/>
  <c r="X20" i="17" a="1"/>
  <c r="X20" i="17" s="1"/>
  <c r="Y20" i="17" s="1"/>
  <c r="Q20" i="17" s="1"/>
  <c r="W20" i="17" s="1"/>
  <c r="T5" i="17" a="1"/>
  <c r="T5" i="17" s="1"/>
  <c r="R28" i="17" a="1"/>
  <c r="R28" i="17" s="1"/>
  <c r="U28" i="17" a="1"/>
  <c r="U28" i="17" s="1"/>
  <c r="S3" i="17" a="1"/>
  <c r="S3" i="17" s="1"/>
  <c r="T24" i="17" a="1"/>
  <c r="T24" i="17" s="1"/>
  <c r="O22" i="17" a="1"/>
  <c r="O22" i="17" s="1"/>
  <c r="O6" i="17" a="1"/>
  <c r="O6" i="17" s="1"/>
  <c r="N20" i="17" a="1"/>
  <c r="N20" i="17" s="1"/>
  <c r="N4" i="17" a="1"/>
  <c r="N4" i="17" s="1"/>
  <c r="R22" i="17" a="1"/>
  <c r="R22" i="17" s="1"/>
  <c r="O19" i="17" a="1"/>
  <c r="O19" i="17" s="1"/>
  <c r="Y21" i="17"/>
  <c r="N30" i="17" a="1"/>
  <c r="N30" i="17" s="1"/>
  <c r="R30" i="17" a="1"/>
  <c r="R30" i="17" s="1"/>
  <c r="V30" i="17" a="1"/>
  <c r="V30" i="17" s="1"/>
  <c r="S14" i="17" a="1"/>
  <c r="S14" i="17" s="1"/>
  <c r="N14" i="17" a="1"/>
  <c r="N14" i="17" s="1"/>
  <c r="R14" i="17" a="1"/>
  <c r="R14" i="17" s="1"/>
  <c r="V14" i="17" a="1"/>
  <c r="V14" i="17" s="1"/>
  <c r="X31" i="17" a="1"/>
  <c r="X31" i="17" s="1"/>
  <c r="Y31" i="17" s="1"/>
  <c r="V12" i="17" a="1"/>
  <c r="V12" i="17" s="1"/>
  <c r="U31" i="17" a="1"/>
  <c r="U31" i="17" s="1"/>
  <c r="T20" i="17" a="1"/>
  <c r="T20" i="17" s="1"/>
  <c r="O14" i="17" a="1"/>
  <c r="O14" i="17" s="1"/>
  <c r="V11" i="17" a="1"/>
  <c r="V11" i="17" s="1"/>
  <c r="U9" i="17" a="1"/>
  <c r="U9" i="17" s="1"/>
  <c r="Y11" i="17"/>
  <c r="X23" i="17" a="1"/>
  <c r="X23" i="17" s="1"/>
  <c r="Y23" i="17" s="1"/>
  <c r="X12" i="17" a="1"/>
  <c r="X12" i="17" s="1"/>
  <c r="Y12" i="17" s="1"/>
  <c r="Q12" i="17" s="1"/>
  <c r="W12" i="17" s="1"/>
  <c r="V18" i="17" a="1"/>
  <c r="V18" i="17" s="1"/>
  <c r="V4" i="17" a="1"/>
  <c r="V4" i="17" s="1"/>
  <c r="U23" i="17" a="1"/>
  <c r="U23" i="17" s="1"/>
  <c r="S27" i="17" a="1"/>
  <c r="S27" i="17" s="1"/>
  <c r="R25" i="17" a="1"/>
  <c r="R25" i="17" s="1"/>
  <c r="R9" i="17" a="1"/>
  <c r="R9" i="17" s="1"/>
  <c r="T6" i="17" a="1"/>
  <c r="T6" i="17" s="1"/>
  <c r="V26" i="17" a="1"/>
  <c r="V26" i="17" s="1"/>
  <c r="S4" i="17" a="1"/>
  <c r="S4" i="17" s="1"/>
  <c r="N12" i="17" a="1"/>
  <c r="N12" i="17" s="1"/>
  <c r="R12" i="17" a="1"/>
  <c r="R12" i="17" s="1"/>
  <c r="U12" i="17" a="1"/>
  <c r="U12" i="17" s="1"/>
  <c r="X30" i="17" a="1"/>
  <c r="X30" i="17" s="1"/>
  <c r="Y30" i="17" s="1"/>
  <c r="Q30" i="17" s="1"/>
  <c r="W30" i="17" s="1"/>
  <c r="S19" i="17" a="1"/>
  <c r="S19" i="17" s="1"/>
  <c r="U11" i="17" a="1"/>
  <c r="U11" i="17" s="1"/>
  <c r="T11" i="17" a="1"/>
  <c r="T11" i="17" s="1"/>
  <c r="X27" i="17" a="1"/>
  <c r="X27" i="17" s="1"/>
  <c r="Y27" i="17" s="1"/>
  <c r="U8" i="17" a="1"/>
  <c r="U8" i="17" s="1"/>
  <c r="T23" i="17" a="1"/>
  <c r="T23" i="17" s="1"/>
  <c r="T8" i="17" a="1"/>
  <c r="T8" i="17" s="1"/>
  <c r="O21" i="17" a="1"/>
  <c r="O21" i="17" s="1"/>
  <c r="O5" i="17" a="1"/>
  <c r="O5" i="17" s="1"/>
  <c r="N19" i="17" a="1"/>
  <c r="N19" i="17" s="1"/>
  <c r="N3" i="17" a="1"/>
  <c r="N3" i="17" s="1"/>
  <c r="N23" i="17" a="1"/>
  <c r="N23" i="17" s="1"/>
  <c r="X18" i="17" a="1"/>
  <c r="X18" i="17" s="1"/>
  <c r="Y18" i="17" s="1"/>
  <c r="V7" i="17" a="1"/>
  <c r="V7" i="17" s="1"/>
  <c r="T3" i="17" a="1"/>
  <c r="T3" i="17" s="1"/>
  <c r="R7" i="17" a="1"/>
  <c r="R7" i="17" s="1"/>
  <c r="O18" i="17" a="1"/>
  <c r="O18" i="17" s="1"/>
  <c r="O2" i="17" a="1"/>
  <c r="O2" i="17" s="1"/>
  <c r="N24" i="17" a="1"/>
  <c r="N24" i="17" s="1"/>
  <c r="N8" i="17" a="1"/>
  <c r="N8" i="17" s="1"/>
  <c r="X2" i="17" a="1"/>
  <c r="X2" i="17" s="1"/>
  <c r="Y2" i="17" s="1"/>
  <c r="U21" i="17" a="1"/>
  <c r="U21" i="17" s="1"/>
  <c r="T19" i="17" a="1"/>
  <c r="T19" i="17" s="1"/>
  <c r="S25" i="17" a="1"/>
  <c r="S25" i="17" s="1"/>
  <c r="S9" i="17" a="1"/>
  <c r="S9" i="17" s="1"/>
  <c r="X25" i="17" a="1"/>
  <c r="X25" i="17" s="1"/>
  <c r="Y25" i="17" s="1"/>
  <c r="X9" i="17" a="1"/>
  <c r="X9" i="17" s="1"/>
  <c r="Y9" i="17" s="1"/>
  <c r="V6" i="17" a="1"/>
  <c r="V6" i="17" s="1"/>
  <c r="U4" i="17" a="1"/>
  <c r="U4" i="17" s="1"/>
  <c r="T2" i="17" a="1"/>
  <c r="T2" i="17" s="1"/>
  <c r="S8" i="17" a="1"/>
  <c r="S8" i="17" s="1"/>
  <c r="R6" i="17" a="1"/>
  <c r="R6" i="17" s="1"/>
  <c r="O25" i="17" a="1"/>
  <c r="O25" i="17" s="1"/>
  <c r="O9" i="17" a="1"/>
  <c r="O9" i="17" s="1"/>
  <c r="N7" i="17" a="1"/>
  <c r="N7" i="17" s="1"/>
  <c r="V23" i="17" a="1"/>
  <c r="V23" i="17" s="1"/>
  <c r="U5" i="17" a="1"/>
  <c r="U5" i="17" s="1"/>
  <c r="R23" i="17" a="1"/>
  <c r="R23" i="17" s="1"/>
  <c r="V22" i="17" a="1"/>
  <c r="V22" i="17" s="1"/>
  <c r="U20" i="17" a="1"/>
  <c r="U20" i="17" s="1"/>
  <c r="T18" i="17" a="1"/>
  <c r="T18" i="17" s="1"/>
  <c r="S24" i="17" a="1"/>
  <c r="S24" i="17" s="1"/>
  <c r="X8" i="17" a="1"/>
  <c r="X8" i="17" s="1"/>
  <c r="Y8" i="17" s="1"/>
  <c r="V5" i="17" a="1"/>
  <c r="V5" i="17" s="1"/>
  <c r="U3" i="17" a="1"/>
  <c r="U3" i="17" s="1"/>
  <c r="T9" i="17" a="1"/>
  <c r="T9" i="17" s="1"/>
  <c r="S7" i="17" a="1"/>
  <c r="S7" i="17" s="1"/>
  <c r="R5" i="17" a="1"/>
  <c r="R5" i="17" s="1"/>
  <c r="O8" i="17" a="1"/>
  <c r="O8" i="17" s="1"/>
  <c r="N6" i="17" a="1"/>
  <c r="N6" i="17" s="1"/>
  <c r="X24" i="17" a="1"/>
  <c r="X24" i="17" s="1"/>
  <c r="Y24" i="17" s="1"/>
  <c r="V21" i="17" a="1"/>
  <c r="V21" i="17" s="1"/>
  <c r="U19" i="17" a="1"/>
  <c r="U19" i="17" s="1"/>
  <c r="S23" i="17" a="1"/>
  <c r="S23" i="17" s="1"/>
  <c r="R21" i="17" a="1"/>
  <c r="R21" i="17" s="1"/>
  <c r="O24" i="17" a="1"/>
  <c r="O24" i="17" s="1"/>
  <c r="N22" i="17" a="1"/>
  <c r="N22" i="17" s="1"/>
  <c r="S22" i="17" a="1"/>
  <c r="S22" i="17" s="1"/>
  <c r="S6" i="17" a="1"/>
  <c r="S6" i="17" s="1"/>
  <c r="R20" i="17" a="1"/>
  <c r="R20" i="17" s="1"/>
  <c r="R4" i="17" a="1"/>
  <c r="R4" i="17" s="1"/>
  <c r="O23" i="17" a="1"/>
  <c r="O23" i="17" s="1"/>
  <c r="O7" i="17" a="1"/>
  <c r="O7" i="17" s="1"/>
  <c r="N21" i="17" a="1"/>
  <c r="N21" i="17" s="1"/>
  <c r="Q15" i="17" l="1"/>
  <c r="W15" i="17" s="1"/>
  <c r="Q13" i="17"/>
  <c r="W13" i="17" s="1"/>
  <c r="Q6" i="17"/>
  <c r="W6" i="17" s="1"/>
  <c r="Q23" i="17"/>
  <c r="W23" i="17" s="1"/>
  <c r="Q21" i="17"/>
  <c r="W21" i="17" s="1"/>
  <c r="Q28" i="17"/>
  <c r="W28" i="17" s="1"/>
  <c r="Q10" i="17"/>
  <c r="W10" i="17" s="1"/>
  <c r="Q31" i="17"/>
  <c r="W31" i="17" s="1"/>
  <c r="Q14" i="17"/>
  <c r="W14" i="17" s="1"/>
  <c r="Q25" i="17"/>
  <c r="W25" i="17" s="1"/>
  <c r="Q18" i="17"/>
  <c r="W18" i="17" s="1"/>
  <c r="Q8" i="17"/>
  <c r="W8" i="17" s="1"/>
  <c r="Q9" i="17"/>
  <c r="W9" i="17" s="1"/>
  <c r="Q7" i="17"/>
  <c r="W7" i="17" s="1"/>
  <c r="Q2" i="17"/>
  <c r="W2" i="17" s="1"/>
  <c r="Q11" i="17"/>
  <c r="W11" i="17" s="1"/>
  <c r="Q5" i="17"/>
  <c r="W5" i="17" s="1"/>
  <c r="Q29" i="17"/>
  <c r="W29" i="17" s="1"/>
  <c r="Q19" i="17"/>
  <c r="W19" i="17" s="1"/>
  <c r="Q27" i="17"/>
  <c r="W27" i="17" s="1"/>
  <c r="Q24" i="17"/>
  <c r="W24" i="17" s="1"/>
  <c r="Q17" i="17"/>
  <c r="W1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4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<sst xmlns="http://schemas.openxmlformats.org/spreadsheetml/2006/main" count="443" uniqueCount="86">
  <si>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</si>
  <si>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</si>
  <si>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</si>
  <si>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</si>
  <si>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</si>
  <si>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</si>
  <si>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</si>
  <si>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</si>
  <si>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</si>
  <si>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</si>
  <si>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</si>
  <si>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</si>
  <si>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</si>
  <si>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</si>
  <si>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</si>
  <si>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</si>
  <si>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</si>
  <si>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</si>
  <si>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</si>
  <si>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</si>
  <si>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</si>
  <si>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</si>
  <si>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</si>
  <si>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</si>
  <si>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</si>
  <si>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</si>
  <si>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</si>
  <si>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</si>
  <si>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</si>
  <si>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</si>
  <si>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</si>
  <si>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</si>
  <si>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</si>
  <si>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</si>
  <si>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</si>
  <si>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</si>
  <si>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</si>
  <si>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</si>
  <si>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</si>
  <si>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</si>
  <si>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</si>
  <si>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</si>
  <si>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</si>
  <si>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</si>
  <si>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</si>
  <si>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</si>
  <si>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</si>
  <si>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</si>
  <si>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</si>
  <si>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</si>
  <si>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</si>
  <si>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</si>
  <si>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</si>
  <si>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</si>
  <si>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</si>
  <si>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</si>
  <si>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</si>
  <si>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</si>
  <si>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</si>
  <si>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</si>
  <si>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</si>
  <si>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</si>
  <si>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</si>
  <si>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</si>
  <si>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</si>
  <si>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</si>
  <si>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</si>
  <si>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</si>
  <si>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E:\programming\Data-Science\model\production\Arena\Ex1\4.p</t>
  </si>
  <si>
    <t>2025-04-26 15:49:58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</si>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</sst>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80011574" createdVersion="7" refreshedVersion="8" minRefreshableVersion="3" recordCount="3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0"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1.0606951178365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2.5625835973069102"/>
    </cacheField>
    <cacheField name="NumberObservations" numFmtId="0">
      <sharedItems containsSemiMixedTypes="0" containsString="0" containsNumber="1" containsInteger="1" minValue="5969" maxValue="6021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0527461350643159"/>
    </cacheField>
    <cacheField name="StDevOfAverage" numFmtId="0">
      <sharedItems containsSemiMixedTypes="0" containsString="0" containsNumber="1" minValue="0" maxValue="5.9761634619493673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4203870180832984E-3"/>
    </cacheField>
    <cacheField name="MinimumAverage" numFmtId="0">
      <sharedItems containsSemiMixedTypes="0" containsString="0" containsNumber="1" minValue="0" maxValue="1.0442960029563899"/>
    </cacheField>
    <cacheField name="MaximumAverage" numFmtId="0">
      <sharedItems containsSemiMixedTypes="0" containsString="0" containsNumber="1" minValue="0" maxValue="1.06069511783651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2.5625835973069102"/>
    </cacheField>
    <cacheField name="AverageNumberObservations" numFmtId="0">
      <sharedItems containsSemiMixedTypes="0" containsString="0" containsNumber="1" minValue="5983.8" maxValue="5983.8"/>
    </cacheField>
    <cacheField name="SummaryHalfWidth" numFmtId="0">
      <sharedItems containsSemiMixedTypes="0" containsString="0" containsNumber="1" minValue="0" maxValue="7.4203870180832984E-3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800347225" createdVersion="7" refreshedVersion="8" minRefreshableVersion="3" recordCount="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5968" maxValue="602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5983.8" maxValue="5984"/>
    </cacheField>
    <cacheField name="StandardDeviation" numFmtId="0">
      <sharedItems containsSemiMixedTypes="0" containsString="0" containsNumber="1" minValue="21.130546609115438" maxValue="21.1589224678384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6.237038986905262" maxValue="26.27227226909978"/>
    </cacheField>
    <cacheField name="Minimum" numFmtId="0">
      <sharedItems containsSemiMixedTypes="0" containsString="0" containsNumber="1" containsInteger="1" minValue="5968" maxValue="5969"/>
    </cacheField>
    <cacheField name="Maximum" numFmtId="0">
      <sharedItems containsSemiMixedTypes="0" containsString="0" containsNumber="1" containsInteger="1" minValue="6021" maxValue="60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80069444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800925925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5"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0.69336527496217903" maxValue="0.70347399434935698"/>
    </cacheField>
    <cacheField name="BatchMeansHalfWidth" numFmtId="0">
      <sharedItems containsSemiMixedTypes="0" containsString="0" containsNumber="1" minValue="8.8060725262647192E-3" maxValue="1.1364317436485499E-2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3" maxValue="4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69996777605428784" maxValue="0.69996777605428784"/>
    </cacheField>
    <cacheField name="StDevOfAverage" numFmtId="0">
      <sharedItems containsSemiMixedTypes="0" containsString="0" containsNumber="1" minValue="4.0416786237738164E-3" maxValue="4.0416786237738164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0184068394496829E-3" maxValue="5.0184068394496829E-3"/>
    </cacheField>
    <cacheField name="MinimumAverage" numFmtId="0">
      <sharedItems containsSemiMixedTypes="0" containsString="0" containsNumber="1" minValue="0.69336527496217903" maxValue="0.69336527496217903"/>
    </cacheField>
    <cacheField name="MaximumAverage" numFmtId="0">
      <sharedItems containsSemiMixedTypes="0" containsString="0" containsNumber="1" minValue="0.70347399434935698" maxValue="0.70347399434935698"/>
    </cacheField>
    <cacheField name="SummaryHalfWidth" numFmtId="0">
      <sharedItems containsSemiMixedTypes="0" containsString="0" containsNumber="1" minValue="5.0184068394496829E-3" maxValue="5.0184068394496829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8011574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025-04-26 15:49:58"/>
    <n v="1"/>
    <x v="0"/>
    <x v="0"/>
    <x v="0"/>
    <n v="0"/>
    <n v="0"/>
    <n v="0"/>
    <n v="0"/>
    <n v="5980"/>
    <s v="Unnamed ProjectPartNVA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1"/>
    <x v="0"/>
    <x v="1"/>
    <x v="0"/>
    <n v="0"/>
    <n v="0"/>
    <n v="0"/>
    <n v="0"/>
    <n v="5980"/>
    <s v="Unnamed ProjectPartOth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1"/>
    <x v="0"/>
    <x v="2"/>
    <x v="0"/>
    <n v="1.05295521899805"/>
    <n v="3E+20"/>
    <n v="0"/>
    <n v="2.5160616991834099"/>
    <n v="5980"/>
    <s v="Unnamed ProjectPartTotal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1"/>
    <x v="0"/>
    <x v="3"/>
    <x v="0"/>
    <n v="0"/>
    <n v="0"/>
    <n v="0"/>
    <n v="0"/>
    <n v="5980"/>
    <s v="Unnamed ProjectPartTransf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1"/>
    <x v="0"/>
    <x v="4"/>
    <x v="0"/>
    <n v="1.05295521899805"/>
    <n v="3E+20"/>
    <n v="0"/>
    <n v="2.5160616991834099"/>
    <n v="5980"/>
    <s v="Unnamed ProjectPartVA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1"/>
    <x v="0"/>
    <x v="5"/>
    <x v="0"/>
    <n v="0"/>
    <n v="0"/>
    <n v="0"/>
    <n v="0"/>
    <n v="5980"/>
    <s v="Unnamed ProjectPartWait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2"/>
    <x v="0"/>
    <x v="0"/>
    <x v="0"/>
    <n v="0"/>
    <n v="0"/>
    <n v="0"/>
    <n v="0"/>
    <n v="5974"/>
    <s v="Unnamed ProjectPartNVA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2"/>
    <x v="0"/>
    <x v="1"/>
    <x v="0"/>
    <n v="0"/>
    <n v="0"/>
    <n v="0"/>
    <n v="0"/>
    <n v="5974"/>
    <s v="Unnamed ProjectPartOth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2"/>
    <x v="0"/>
    <x v="2"/>
    <x v="0"/>
    <n v="1.0549146281420401"/>
    <n v="9.6292726460263291E-3"/>
    <n v="0"/>
    <n v="2.5625835973069102"/>
    <n v="5974"/>
    <s v="Unnamed ProjectPartTotal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2"/>
    <x v="0"/>
    <x v="3"/>
    <x v="0"/>
    <n v="0"/>
    <n v="0"/>
    <n v="0"/>
    <n v="0"/>
    <n v="5974"/>
    <s v="Unnamed ProjectPartTransf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2"/>
    <x v="0"/>
    <x v="4"/>
    <x v="0"/>
    <n v="1.0549146281420401"/>
    <n v="9.6292726460263291E-3"/>
    <n v="0"/>
    <n v="2.5625835973069102"/>
    <n v="5974"/>
    <s v="Unnamed ProjectPartVA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2"/>
    <x v="0"/>
    <x v="5"/>
    <x v="0"/>
    <n v="0"/>
    <n v="0"/>
    <n v="0"/>
    <n v="0"/>
    <n v="5974"/>
    <s v="Unnamed ProjectPartWait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3"/>
    <x v="0"/>
    <x v="0"/>
    <x v="0"/>
    <n v="0"/>
    <n v="0"/>
    <n v="0"/>
    <n v="0"/>
    <n v="6021"/>
    <s v="Unnamed ProjectPartNVA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3"/>
    <x v="0"/>
    <x v="1"/>
    <x v="0"/>
    <n v="0"/>
    <n v="0"/>
    <n v="0"/>
    <n v="0"/>
    <n v="6021"/>
    <s v="Unnamed ProjectPartOth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3"/>
    <x v="0"/>
    <x v="2"/>
    <x v="0"/>
    <n v="1.05086970738859"/>
    <n v="9.8645330328923208E-3"/>
    <n v="0"/>
    <n v="2.39093992049493"/>
    <n v="6021"/>
    <s v="Unnamed ProjectPartTotal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3"/>
    <x v="0"/>
    <x v="3"/>
    <x v="0"/>
    <n v="0"/>
    <n v="0"/>
    <n v="0"/>
    <n v="0"/>
    <n v="6021"/>
    <s v="Unnamed ProjectPartTransf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3"/>
    <x v="0"/>
    <x v="4"/>
    <x v="0"/>
    <n v="1.05086970738859"/>
    <n v="9.8645330328923208E-3"/>
    <n v="0"/>
    <n v="2.39093992049493"/>
    <n v="6021"/>
    <s v="Unnamed ProjectPartVA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3"/>
    <x v="0"/>
    <x v="5"/>
    <x v="0"/>
    <n v="0"/>
    <n v="0"/>
    <n v="0"/>
    <n v="0"/>
    <n v="6021"/>
    <s v="Unnamed ProjectPartWait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4"/>
    <x v="0"/>
    <x v="0"/>
    <x v="0"/>
    <n v="0"/>
    <n v="0"/>
    <n v="0"/>
    <n v="0"/>
    <n v="5969"/>
    <s v="Unnamed ProjectPartNVA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4"/>
    <x v="0"/>
    <x v="1"/>
    <x v="0"/>
    <n v="0"/>
    <n v="0"/>
    <n v="0"/>
    <n v="0"/>
    <n v="5969"/>
    <s v="Unnamed ProjectPartOth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4"/>
    <x v="0"/>
    <x v="2"/>
    <x v="0"/>
    <n v="1.06069511783651"/>
    <n v="8.1139069905943693E-3"/>
    <n v="0"/>
    <n v="2.54553835947263"/>
    <n v="5969"/>
    <s v="Unnamed ProjectPartTotal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4"/>
    <x v="0"/>
    <x v="3"/>
    <x v="0"/>
    <n v="0"/>
    <n v="0"/>
    <n v="0"/>
    <n v="0"/>
    <n v="5969"/>
    <s v="Unnamed ProjectPartTransf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4"/>
    <x v="0"/>
    <x v="4"/>
    <x v="0"/>
    <n v="1.06069511783651"/>
    <n v="8.1139069905943693E-3"/>
    <n v="0"/>
    <n v="2.54553835947263"/>
    <n v="5969"/>
    <s v="Unnamed ProjectPartVA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4"/>
    <x v="0"/>
    <x v="5"/>
    <x v="0"/>
    <n v="0"/>
    <n v="0"/>
    <n v="0"/>
    <n v="0"/>
    <n v="5969"/>
    <s v="Unnamed ProjectPartWait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5"/>
    <x v="0"/>
    <x v="0"/>
    <x v="0"/>
    <n v="0"/>
    <n v="0"/>
    <n v="0"/>
    <n v="0"/>
    <n v="5975"/>
    <s v="Unnamed ProjectPartNVA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5"/>
    <x v="0"/>
    <x v="1"/>
    <x v="0"/>
    <n v="0"/>
    <n v="0"/>
    <n v="0"/>
    <n v="0"/>
    <n v="5975"/>
    <s v="Unnamed ProjectPartOth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5"/>
    <x v="0"/>
    <x v="2"/>
    <x v="0"/>
    <n v="1.0442960029563899"/>
    <n v="1.0867466556060201E-2"/>
    <n v="0"/>
    <n v="2.53341487231864"/>
    <n v="5975"/>
    <s v="Unnamed ProjectPartTotal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5"/>
    <x v="0"/>
    <x v="3"/>
    <x v="0"/>
    <n v="0"/>
    <n v="0"/>
    <n v="0"/>
    <n v="0"/>
    <n v="5975"/>
    <s v="Unnamed ProjectPartTransfer TimeEntity"/>
    <n v="5"/>
    <n v="0"/>
    <n v="0"/>
    <n v="0.95"/>
    <n v="0"/>
    <n v="0"/>
    <n v="0"/>
    <n v="0"/>
    <n v="0"/>
    <n v="5983.8"/>
    <n v="0"/>
    <n v="5"/>
    <n v="1"/>
  </r>
  <r>
    <x v="0"/>
    <s v="2025-04-26 15:49:58"/>
    <n v="5"/>
    <x v="0"/>
    <x v="4"/>
    <x v="0"/>
    <n v="1.0442960029563899"/>
    <n v="1.0867466556060201E-2"/>
    <n v="0"/>
    <n v="2.53341487231864"/>
    <n v="5975"/>
    <s v="Unnamed ProjectPartVA TimeEntity"/>
    <n v="5"/>
    <n v="1.0527461350643159"/>
    <n v="5.9761634619493673E-3"/>
    <n v="0.95"/>
    <n v="7.4203870180832984E-3"/>
    <n v="1.0442960029563899"/>
    <n v="1.06069511783651"/>
    <n v="0"/>
    <n v="2.5625835973069102"/>
    <n v="5983.8"/>
    <n v="7.4203870180832984E-3"/>
    <n v="5"/>
    <n v="1"/>
  </r>
  <r>
    <x v="0"/>
    <s v="2025-04-26 15:49:58"/>
    <n v="5"/>
    <x v="0"/>
    <x v="5"/>
    <x v="0"/>
    <n v="0"/>
    <n v="0"/>
    <n v="0"/>
    <n v="0"/>
    <n v="5975"/>
    <s v="Unnamed ProjectPartWait TimeEntity"/>
    <n v="5"/>
    <n v="0"/>
    <n v="0"/>
    <n v="0.95"/>
    <n v="0"/>
    <n v="0"/>
    <n v="0"/>
    <n v="0"/>
    <n v="0"/>
    <n v="5983.8"/>
    <n v="0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5-04-26 15:49:58"/>
    <n v="1"/>
    <x v="0"/>
    <x v="0"/>
    <x v="0"/>
    <n v="5980"/>
    <n v="0"/>
    <s v="Unnamed ProjectPart.NumberInNumber InEntity"/>
    <n v="5"/>
    <n v="5984"/>
    <n v="21.130546609115438"/>
    <n v="0.95"/>
    <n v="26.237038986905262"/>
    <n v="5968"/>
    <n v="6021"/>
  </r>
  <r>
    <x v="0"/>
    <s v="2025-04-26 15:49:58"/>
    <n v="1"/>
    <x v="1"/>
    <x v="1"/>
    <x v="0"/>
    <n v="5980"/>
    <n v="0"/>
    <s v="Unnamed ProjectPart.NumberOutNumber OutEntity"/>
    <n v="5"/>
    <n v="5983.8"/>
    <n v="21.15892246783848"/>
    <n v="0.95"/>
    <n v="26.27227226909978"/>
    <n v="5969"/>
    <n v="6021"/>
  </r>
  <r>
    <x v="0"/>
    <s v="2025-04-26 15:49:58"/>
    <n v="1"/>
    <x v="2"/>
    <x v="1"/>
    <x v="1"/>
    <n v="5980"/>
    <n v="0"/>
    <s v="Unnamed ProjectSystem.NumberOutNumber OutSystem"/>
    <n v="5"/>
    <n v="5983.8"/>
    <n v="21.15892246783848"/>
    <n v="0.95"/>
    <n v="26.27227226909978"/>
    <n v="5969"/>
    <n v="6021"/>
  </r>
  <r>
    <x v="0"/>
    <s v="2025-04-26 15:49:58"/>
    <n v="2"/>
    <x v="0"/>
    <x v="0"/>
    <x v="0"/>
    <n v="5975"/>
    <n v="0"/>
    <s v="Unnamed ProjectPart.NumberInNumber InEntity"/>
    <n v="5"/>
    <n v="5984"/>
    <n v="21.130546609115438"/>
    <n v="0.95"/>
    <n v="26.237038986905262"/>
    <n v="5968"/>
    <n v="6021"/>
  </r>
  <r>
    <x v="0"/>
    <s v="2025-04-26 15:49:58"/>
    <n v="2"/>
    <x v="1"/>
    <x v="1"/>
    <x v="0"/>
    <n v="5974"/>
    <n v="0"/>
    <s v="Unnamed ProjectPart.NumberOutNumber OutEntity"/>
    <n v="5"/>
    <n v="5983.8"/>
    <n v="21.15892246783848"/>
    <n v="0.95"/>
    <n v="26.27227226909978"/>
    <n v="5969"/>
    <n v="6021"/>
  </r>
  <r>
    <x v="0"/>
    <s v="2025-04-26 15:49:58"/>
    <n v="2"/>
    <x v="2"/>
    <x v="1"/>
    <x v="1"/>
    <n v="5974"/>
    <n v="0"/>
    <s v="Unnamed ProjectSystem.NumberOutNumber OutSystem"/>
    <n v="5"/>
    <n v="5983.8"/>
    <n v="21.15892246783848"/>
    <n v="0.95"/>
    <n v="26.27227226909978"/>
    <n v="5969"/>
    <n v="6021"/>
  </r>
  <r>
    <x v="0"/>
    <s v="2025-04-26 15:49:58"/>
    <n v="3"/>
    <x v="0"/>
    <x v="0"/>
    <x v="0"/>
    <n v="6021"/>
    <n v="0"/>
    <s v="Unnamed ProjectPart.NumberInNumber InEntity"/>
    <n v="5"/>
    <n v="5984"/>
    <n v="21.130546609115438"/>
    <n v="0.95"/>
    <n v="26.237038986905262"/>
    <n v="5968"/>
    <n v="6021"/>
  </r>
  <r>
    <x v="0"/>
    <s v="2025-04-26 15:49:58"/>
    <n v="3"/>
    <x v="1"/>
    <x v="1"/>
    <x v="0"/>
    <n v="6021"/>
    <n v="0"/>
    <s v="Unnamed ProjectPart.NumberOutNumber OutEntity"/>
    <n v="5"/>
    <n v="5983.8"/>
    <n v="21.15892246783848"/>
    <n v="0.95"/>
    <n v="26.27227226909978"/>
    <n v="5969"/>
    <n v="6021"/>
  </r>
  <r>
    <x v="0"/>
    <s v="2025-04-26 15:49:58"/>
    <n v="3"/>
    <x v="2"/>
    <x v="1"/>
    <x v="1"/>
    <n v="6021"/>
    <n v="0"/>
    <s v="Unnamed ProjectSystem.NumberOutNumber OutSystem"/>
    <n v="5"/>
    <n v="5983.8"/>
    <n v="21.15892246783848"/>
    <n v="0.95"/>
    <n v="26.27227226909978"/>
    <n v="5969"/>
    <n v="6021"/>
  </r>
  <r>
    <x v="0"/>
    <s v="2025-04-26 15:49:58"/>
    <n v="4"/>
    <x v="0"/>
    <x v="0"/>
    <x v="0"/>
    <n v="5968"/>
    <n v="0"/>
    <s v="Unnamed ProjectPart.NumberInNumber InEntity"/>
    <n v="5"/>
    <n v="5984"/>
    <n v="21.130546609115438"/>
    <n v="0.95"/>
    <n v="26.237038986905262"/>
    <n v="5968"/>
    <n v="6021"/>
  </r>
  <r>
    <x v="0"/>
    <s v="2025-04-26 15:49:58"/>
    <n v="4"/>
    <x v="1"/>
    <x v="1"/>
    <x v="0"/>
    <n v="5969"/>
    <n v="0"/>
    <s v="Unnamed ProjectPart.NumberOutNumber OutEntity"/>
    <n v="5"/>
    <n v="5983.8"/>
    <n v="21.15892246783848"/>
    <n v="0.95"/>
    <n v="26.27227226909978"/>
    <n v="5969"/>
    <n v="6021"/>
  </r>
  <r>
    <x v="0"/>
    <s v="2025-04-26 15:49:58"/>
    <n v="4"/>
    <x v="2"/>
    <x v="1"/>
    <x v="1"/>
    <n v="5969"/>
    <n v="0"/>
    <s v="Unnamed ProjectSystem.NumberOutNumber OutSystem"/>
    <n v="5"/>
    <n v="5983.8"/>
    <n v="21.15892246783848"/>
    <n v="0.95"/>
    <n v="26.27227226909978"/>
    <n v="5969"/>
    <n v="6021"/>
  </r>
  <r>
    <x v="0"/>
    <s v="2025-04-26 15:49:58"/>
    <n v="5"/>
    <x v="0"/>
    <x v="0"/>
    <x v="0"/>
    <n v="5976"/>
    <n v="0"/>
    <s v="Unnamed ProjectPart.NumberInNumber InEntity"/>
    <n v="5"/>
    <n v="5984"/>
    <n v="21.130546609115438"/>
    <n v="0.95"/>
    <n v="26.237038986905262"/>
    <n v="5968"/>
    <n v="6021"/>
  </r>
  <r>
    <x v="0"/>
    <s v="2025-04-26 15:49:58"/>
    <n v="5"/>
    <x v="1"/>
    <x v="1"/>
    <x v="0"/>
    <n v="5975"/>
    <n v="0"/>
    <s v="Unnamed ProjectPart.NumberOutNumber OutEntity"/>
    <n v="5"/>
    <n v="5983.8"/>
    <n v="21.15892246783848"/>
    <n v="0.95"/>
    <n v="26.27227226909978"/>
    <n v="5969"/>
    <n v="6021"/>
  </r>
  <r>
    <x v="0"/>
    <s v="2025-04-26 15:49:58"/>
    <n v="5"/>
    <x v="2"/>
    <x v="1"/>
    <x v="1"/>
    <n v="5975"/>
    <n v="0"/>
    <s v="Unnamed ProjectSystem.NumberOutNumber OutSystem"/>
    <n v="5"/>
    <n v="5983.8"/>
    <n v="21.15892246783848"/>
    <n v="0.95"/>
    <n v="26.27227226909978"/>
    <n v="5969"/>
    <n v="60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4-26 15:49:58"/>
    <n v="1"/>
    <x v="0"/>
    <x v="0"/>
    <x v="0"/>
    <n v="0.69966189497986797"/>
    <n v="9.1401875506028993E-3"/>
    <n v="0"/>
    <n v="4"/>
    <n v="1"/>
    <n v="0"/>
    <s v="Unnamed ProjectPartWIPEntity"/>
    <n v="5"/>
    <n v="0.69996777605428784"/>
    <n v="4.0416786237738164E-3"/>
    <n v="0.95"/>
    <n v="5.0184068394496829E-3"/>
    <n v="0.69336527496217903"/>
    <n v="0.70347399434935698"/>
    <n v="5.0184068394496829E-3"/>
  </r>
  <r>
    <x v="0"/>
    <s v="2025-04-26 15:49:58"/>
    <n v="2"/>
    <x v="0"/>
    <x v="0"/>
    <x v="0"/>
    <n v="0.70033222897423197"/>
    <n v="9.4517661008881801E-3"/>
    <n v="0"/>
    <n v="4"/>
    <n v="2"/>
    <n v="0"/>
    <s v="Unnamed ProjectPartWIPEntity"/>
    <n v="5"/>
    <n v="0.69996777605428784"/>
    <n v="4.0416786237738164E-3"/>
    <n v="0.95"/>
    <n v="5.0184068394496829E-3"/>
    <n v="0.69336527496217903"/>
    <n v="0.70347399434935698"/>
    <n v="5.0184068394496829E-3"/>
  </r>
  <r>
    <x v="0"/>
    <s v="2025-04-26 15:49:58"/>
    <n v="3"/>
    <x v="0"/>
    <x v="0"/>
    <x v="0"/>
    <n v="0.70300548700580401"/>
    <n v="8.8060725262647192E-3"/>
    <n v="0"/>
    <n v="3"/>
    <n v="1"/>
    <n v="0"/>
    <s v="Unnamed ProjectPartWIPEntity"/>
    <n v="5"/>
    <n v="0.69996777605428784"/>
    <n v="4.0416786237738164E-3"/>
    <n v="0.95"/>
    <n v="5.0184068394496829E-3"/>
    <n v="0.69336527496217903"/>
    <n v="0.70347399434935698"/>
    <n v="5.0184068394496829E-3"/>
  </r>
  <r>
    <x v="0"/>
    <s v="2025-04-26 15:49:58"/>
    <n v="4"/>
    <x v="0"/>
    <x v="0"/>
    <x v="0"/>
    <n v="0.70347399434935698"/>
    <n v="9.0671152847099402E-3"/>
    <n v="0"/>
    <n v="4"/>
    <n v="0"/>
    <n v="0"/>
    <s v="Unnamed ProjectPartWIPEntity"/>
    <n v="5"/>
    <n v="0.69996777605428784"/>
    <n v="4.0416786237738164E-3"/>
    <n v="0.95"/>
    <n v="5.0184068394496829E-3"/>
    <n v="0.69336527496217903"/>
    <n v="0.70347399434935698"/>
    <n v="5.0184068394496829E-3"/>
  </r>
  <r>
    <x v="0"/>
    <s v="2025-04-26 15:49:58"/>
    <n v="5"/>
    <x v="0"/>
    <x v="0"/>
    <x v="0"/>
    <n v="0.69336527496217903"/>
    <n v="1.1364317436485499E-2"/>
    <n v="0"/>
    <n v="4"/>
    <n v="1"/>
    <n v="0"/>
    <s v="Unnamed ProjectPartWIPEntity"/>
    <n v="5"/>
    <n v="0.69996777605428784"/>
    <n v="4.0416786237738164E-3"/>
    <n v="0.95"/>
    <n v="5.0184068394496829E-3"/>
    <n v="0.69336527496217903"/>
    <n v="0.70347399434935698"/>
    <n v="5.0184068394496829E-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0"/>
        <item x="1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1" tableType="queryTable" totalsRowShown="0">
  <autoFilter ref="A1:Y31" xr:uid="{C3D003CA-1AFF-426C-A03D-D3AF5760DF1A}"/>
  <sortState xmlns:xlrd2="http://schemas.microsoft.com/office/spreadsheetml/2017/richdata2" ref="A2:Y31">
    <sortCondition ref="D1:D3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6" tableType="queryTable" totalsRowShown="0">
  <autoFilter ref="A1:P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5983.8</v>
      </c>
      <c r="O3" t="s">
        <v>66</v>
      </c>
      <c r="P3" t="s">
        <v>70</v>
      </c>
      <c r="Q3" t="s">
        <v>78</v>
      </c>
      <c r="R3" t="s">
        <v>72</v>
      </c>
      <c r="S3" s="5">
        <v>0.69996777605428784</v>
      </c>
      <c r="T3" s="5">
        <v>5.0184068394496829E-3</v>
      </c>
      <c r="U3" s="5">
        <v>4.0416786237738164E-3</v>
      </c>
      <c r="V3" s="5">
        <v>0.69336527496217903</v>
      </c>
      <c r="W3" s="5">
        <v>0.70347399434935698</v>
      </c>
      <c r="X3" s="5">
        <v>0</v>
      </c>
      <c r="Y3" s="5">
        <v>4</v>
      </c>
      <c r="AA3" t="s">
        <v>85</v>
      </c>
      <c r="AB3" t="s">
        <v>85</v>
      </c>
      <c r="AC3" t="s">
        <v>85</v>
      </c>
      <c r="AD3" t="s">
        <v>85</v>
      </c>
      <c r="AE3" s="5"/>
      <c r="AF3" s="5"/>
      <c r="AG3" s="5"/>
      <c r="AH3" s="5"/>
      <c r="AI3" s="5"/>
      <c r="AK3" t="s">
        <v>66</v>
      </c>
      <c r="AL3" t="s">
        <v>83</v>
      </c>
      <c r="AM3" t="s">
        <v>82</v>
      </c>
      <c r="AN3" t="s">
        <v>84</v>
      </c>
      <c r="AO3" s="5">
        <v>5983.8</v>
      </c>
      <c r="AP3" s="5">
        <v>26.27227226909978</v>
      </c>
      <c r="AQ3" s="5">
        <v>21.15892246783848</v>
      </c>
      <c r="AR3" s="5">
        <v>5969</v>
      </c>
      <c r="AS3" s="5">
        <v>6021</v>
      </c>
      <c r="AU3" t="s">
        <v>85</v>
      </c>
      <c r="AV3" t="s">
        <v>85</v>
      </c>
      <c r="AW3" t="s">
        <v>85</v>
      </c>
      <c r="AX3" t="s">
        <v>85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5983.8</v>
      </c>
      <c r="AL4" t="s">
        <v>79</v>
      </c>
      <c r="AM4" t="s">
        <v>80</v>
      </c>
      <c r="AN4" t="s">
        <v>72</v>
      </c>
      <c r="AO4" s="5">
        <v>5984</v>
      </c>
      <c r="AP4" s="5">
        <v>26.237038986905262</v>
      </c>
      <c r="AQ4" s="5">
        <v>21.130546609115438</v>
      </c>
      <c r="AR4" s="5">
        <v>5968</v>
      </c>
      <c r="AS4" s="5">
        <v>6021</v>
      </c>
    </row>
    <row r="5" spans="1:52" x14ac:dyDescent="0.3">
      <c r="C5" t="s">
        <v>74</v>
      </c>
      <c r="D5" t="s">
        <v>72</v>
      </c>
      <c r="E5" s="5">
        <v>1.0527461350643159</v>
      </c>
      <c r="F5" s="5">
        <v>1</v>
      </c>
      <c r="G5" s="5">
        <v>7.4203870180832984E-3</v>
      </c>
      <c r="H5" s="5">
        <v>5.9761634619493673E-3</v>
      </c>
      <c r="I5" s="5">
        <v>1.0442960029563899</v>
      </c>
      <c r="J5" s="5">
        <v>1.06069511783651</v>
      </c>
      <c r="K5" s="5">
        <v>0</v>
      </c>
      <c r="L5" s="5">
        <v>2.5625835973069102</v>
      </c>
      <c r="M5" s="5">
        <v>5983.8</v>
      </c>
      <c r="AL5" t="s">
        <v>81</v>
      </c>
      <c r="AM5" t="s">
        <v>82</v>
      </c>
      <c r="AN5" t="s">
        <v>72</v>
      </c>
      <c r="AO5" s="5">
        <v>5983.8</v>
      </c>
      <c r="AP5" s="5">
        <v>26.27227226909978</v>
      </c>
      <c r="AQ5" s="5">
        <v>21.15892246783848</v>
      </c>
      <c r="AR5" s="5">
        <v>5969</v>
      </c>
      <c r="AS5" s="5">
        <v>6021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5983.8</v>
      </c>
    </row>
    <row r="7" spans="1:52" x14ac:dyDescent="0.3">
      <c r="C7" t="s">
        <v>76</v>
      </c>
      <c r="D7" t="s">
        <v>72</v>
      </c>
      <c r="E7" s="5">
        <v>1.0527461350643159</v>
      </c>
      <c r="F7" s="5">
        <v>1</v>
      </c>
      <c r="G7" s="5">
        <v>7.4203870180832984E-3</v>
      </c>
      <c r="H7" s="5">
        <v>5.9761634619493673E-3</v>
      </c>
      <c r="I7" s="5">
        <v>1.0442960029563899</v>
      </c>
      <c r="J7" s="5">
        <v>1.06069511783651</v>
      </c>
      <c r="K7" s="5">
        <v>0</v>
      </c>
      <c r="L7" s="5">
        <v>2.5625835973069102</v>
      </c>
      <c r="M7" s="5">
        <v>5983.8</v>
      </c>
    </row>
    <row r="8" spans="1:52" x14ac:dyDescent="0.3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5983.8</v>
      </c>
    </row>
  </sheetData>
  <dataConsolidate/>
  <phoneticPr fontId="3" type="noConversion"/>
  <conditionalFormatting pivot="1" sqref="G3:G8">
    <cfRule type="expression" dxfId="31" priority="14">
      <formula>G3=200000000000000000000</formula>
    </cfRule>
  </conditionalFormatting>
  <conditionalFormatting pivot="1" sqref="T3">
    <cfRule type="expression" dxfId="30" priority="13">
      <formula>T3=200000000000000000000</formula>
    </cfRule>
  </conditionalFormatting>
  <conditionalFormatting pivot="1" sqref="T3">
    <cfRule type="expression" dxfId="29" priority="12">
      <formula>T3=300000000000000000000</formula>
    </cfRule>
  </conditionalFormatting>
  <conditionalFormatting pivot="1" sqref="G3:G8">
    <cfRule type="expression" dxfId="28" priority="11">
      <formula>G3=300000000000000000000</formula>
    </cfRule>
  </conditionalFormatting>
  <conditionalFormatting pivot="1" sqref="F3:F8">
    <cfRule type="expression" dxfId="27" priority="10">
      <formula>F3=0</formula>
    </cfRule>
  </conditionalFormatting>
  <conditionalFormatting pivot="1" sqref="F3:F8">
    <cfRule type="expression" dxfId="26" priority="9">
      <formula>F3=1</formula>
    </cfRule>
  </conditionalFormatting>
  <conditionalFormatting pivot="1" sqref="T3">
    <cfRule type="expression" dxfId="25" priority="8">
      <formula>T3=400000000000000000000</formula>
    </cfRule>
  </conditionalFormatting>
  <conditionalFormatting pivot="1" sqref="AP3:AP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2.33203125" bestFit="1" customWidth="1"/>
    <col min="11" max="11" width="21.58203125" bestFit="1" customWidth="1"/>
    <col min="12" max="12" width="34.41406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5980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5983.8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5980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5983.8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1.05295521899805</v>
      </c>
      <c r="H4">
        <v>3E+20</v>
      </c>
      <c r="I4">
        <v>0</v>
      </c>
      <c r="J4">
        <v>2.5160616991834099</v>
      </c>
      <c r="K4">
        <v>5980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1.0527461350643159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1.0442960029563899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1.06069511783651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2.5625835973069102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5983.8</v>
      </c>
      <c r="W4">
        <f>IF((DiscreteStatsTable[[#This Row],[RepsRequested]]&gt;1),DiscreteStatsTable[[#This Row],[HalfWidth]],DiscreteStatsTable[[#This Row],[BatchMeansHalfWidth]])</f>
        <v>7.4203870180832984E-3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5980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5983.8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1.05295521899805</v>
      </c>
      <c r="H6">
        <v>3E+20</v>
      </c>
      <c r="I6">
        <v>0</v>
      </c>
      <c r="J6">
        <v>2.5160616991834099</v>
      </c>
      <c r="K6">
        <v>5980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1.0527461350643159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1.0442960029563899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1.06069511783651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2.5625835973069102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5983.8</v>
      </c>
      <c r="W6">
        <f>IF((DiscreteStatsTable[[#This Row],[RepsRequested]]&gt;1),DiscreteStatsTable[[#This Row],[HalfWidth]],DiscreteStatsTable[[#This Row],[BatchMeansHalfWidth]])</f>
        <v>7.4203870180832984E-3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5980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5983.8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5974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5983.8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5974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5983.8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1.0549146281420401</v>
      </c>
      <c r="H10">
        <v>9.6292726460263291E-3</v>
      </c>
      <c r="I10">
        <v>0</v>
      </c>
      <c r="J10">
        <v>2.5625835973069102</v>
      </c>
      <c r="K10">
        <v>5974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1.0527461350643159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1.0442960029563899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1.06069511783651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2.5625835973069102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5983.8</v>
      </c>
      <c r="W10">
        <f>IF((DiscreteStatsTable[[#This Row],[RepsRequested]]&gt;1),DiscreteStatsTable[[#This Row],[HalfWidth]],DiscreteStatsTable[[#This Row],[BatchMeansHalfWidth]])</f>
        <v>7.4203870180832984E-3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5974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5983.8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1.0549146281420401</v>
      </c>
      <c r="H12">
        <v>9.6292726460263291E-3</v>
      </c>
      <c r="I12">
        <v>0</v>
      </c>
      <c r="J12">
        <v>2.5625835973069102</v>
      </c>
      <c r="K12">
        <v>5974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1.0527461350643159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1.0442960029563899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1.06069511783651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2.5625835973069102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5983.8</v>
      </c>
      <c r="W12">
        <f>IF((DiscreteStatsTable[[#This Row],[RepsRequested]]&gt;1),DiscreteStatsTable[[#This Row],[HalfWidth]],DiscreteStatsTable[[#This Row],[BatchMeansHalfWidth]])</f>
        <v>7.4203870180832984E-3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5974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5983.8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6021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5983.8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6021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5983.8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1.05086970738859</v>
      </c>
      <c r="H16">
        <v>9.8645330328923208E-3</v>
      </c>
      <c r="I16">
        <v>0</v>
      </c>
      <c r="J16">
        <v>2.39093992049493</v>
      </c>
      <c r="K16">
        <v>6021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1.0527461350643159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1.0442960029563899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1.06069511783651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2.5625835973069102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5983.8</v>
      </c>
      <c r="W16">
        <f>IF((DiscreteStatsTable[[#This Row],[RepsRequested]]&gt;1),DiscreteStatsTable[[#This Row],[HalfWidth]],DiscreteStatsTable[[#This Row],[BatchMeansHalfWidth]])</f>
        <v>7.4203870180832984E-3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6021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5983.8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1.05086970738859</v>
      </c>
      <c r="H18">
        <v>9.8645330328923208E-3</v>
      </c>
      <c r="I18">
        <v>0</v>
      </c>
      <c r="J18">
        <v>2.39093992049493</v>
      </c>
      <c r="K18">
        <v>6021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1.0527461350643159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1.0442960029563899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1.06069511783651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2.5625835973069102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5983.8</v>
      </c>
      <c r="W18">
        <f>IF((DiscreteStatsTable[[#This Row],[RepsRequested]]&gt;1),DiscreteStatsTable[[#This Row],[HalfWidth]],DiscreteStatsTable[[#This Row],[BatchMeansHalfWidth]])</f>
        <v>7.4203870180832984E-3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6021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5983.8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5969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5983.8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5969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5983.8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1.06069511783651</v>
      </c>
      <c r="H22">
        <v>8.1139069905943693E-3</v>
      </c>
      <c r="I22">
        <v>0</v>
      </c>
      <c r="J22">
        <v>2.54553835947263</v>
      </c>
      <c r="K22">
        <v>5969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1.0527461350643159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1.0442960029563899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1.06069511783651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2.5625835973069102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5983.8</v>
      </c>
      <c r="W22">
        <f>IF((DiscreteStatsTable[[#This Row],[RepsRequested]]&gt;1),DiscreteStatsTable[[#This Row],[HalfWidth]],DiscreteStatsTable[[#This Row],[BatchMeansHalfWidth]])</f>
        <v>7.4203870180832984E-3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5969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5983.8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1.06069511783651</v>
      </c>
      <c r="H24">
        <v>8.1139069905943693E-3</v>
      </c>
      <c r="I24">
        <v>0</v>
      </c>
      <c r="J24">
        <v>2.54553835947263</v>
      </c>
      <c r="K24">
        <v>5969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1.0527461350643159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1.0442960029563899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1.06069511783651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2.5625835973069102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5983.8</v>
      </c>
      <c r="W24">
        <f>IF((DiscreteStatsTable[[#This Row],[RepsRequested]]&gt;1),DiscreteStatsTable[[#This Row],[HalfWidth]],DiscreteStatsTable[[#This Row],[BatchMeansHalfWidth]])</f>
        <v>7.4203870180832984E-3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5969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5983.8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5975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5983.8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5975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5983.8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1.0442960029563899</v>
      </c>
      <c r="H28">
        <v>1.0867466556060201E-2</v>
      </c>
      <c r="I28">
        <v>0</v>
      </c>
      <c r="J28">
        <v>2.53341487231864</v>
      </c>
      <c r="K28">
        <v>5975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1.0527461350643159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1.0442960029563899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1.06069511783651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2.5625835973069102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5983.8</v>
      </c>
      <c r="W28">
        <f>IF((DiscreteStatsTable[[#This Row],[RepsRequested]]&gt;1),DiscreteStatsTable[[#This Row],[HalfWidth]],DiscreteStatsTable[[#This Row],[BatchMeansHalfWidth]])</f>
        <v>7.4203870180832984E-3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5975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5983.8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1.0442960029563899</v>
      </c>
      <c r="H30">
        <v>1.0867466556060201E-2</v>
      </c>
      <c r="I30">
        <v>0</v>
      </c>
      <c r="J30">
        <v>2.53341487231864</v>
      </c>
      <c r="K30">
        <v>5975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1.0527461350643159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5.9761634619493673E-3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7.4203870180832984E-3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1.0442960029563899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1.06069511783651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2.5625835973069102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5983.8</v>
      </c>
      <c r="W30">
        <f>IF((DiscreteStatsTable[[#This Row],[RepsRequested]]&gt;1),DiscreteStatsTable[[#This Row],[HalfWidth]],DiscreteStatsTable[[#This Row],[BatchMeansHalfWidth]])</f>
        <v>7.4203870180832984E-3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5975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5983.8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1 Q2:Q31">
    <cfRule type="expression" dxfId="20" priority="23">
      <formula>H2=200000000000000000000</formula>
    </cfRule>
  </conditionalFormatting>
  <conditionalFormatting sqref="H2:H31">
    <cfRule type="expression" dxfId="19" priority="21">
      <formula>H2=300000000000000000000</formula>
    </cfRule>
  </conditionalFormatting>
  <conditionalFormatting sqref="L2:Y31">
    <cfRule type="expression" dxfId="18" priority="19">
      <formula>MOD(ROW(),2)=0</formula>
    </cfRule>
  </conditionalFormatting>
  <conditionalFormatting sqref="Y2:Y31">
    <cfRule type="expression" dxfId="17" priority="14">
      <formula>Y2=0</formula>
    </cfRule>
    <cfRule type="expression" dxfId="16" priority="16">
      <formula>Y2=1</formula>
    </cfRule>
  </conditionalFormatting>
  <conditionalFormatting sqref="Y3:Y31">
    <cfRule type="expression" dxfId="15" priority="15">
      <formula>Y3=1</formula>
    </cfRule>
  </conditionalFormatting>
  <conditionalFormatting sqref="W2:W3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1 W2:W3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26.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78</v>
      </c>
      <c r="F2" t="s">
        <v>72</v>
      </c>
      <c r="G2">
        <v>0.69966189497986797</v>
      </c>
      <c r="H2">
        <v>9.1401875506028993E-3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0.69996777605428784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4.0416786237738164E-3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5.0184068394496829E-3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0.69336527496217903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0.70347399434935698</v>
      </c>
      <c r="U2">
        <f>IF((ContinuousStatsTable[[#This Row],[RepsRequested]]&gt;1),ContinuousStatsTable[[#This Row],[HalfWidth]],ContinuousStatsTable[[#This Row],[BatchMeansHalfWidth]])</f>
        <v>5.0184068394496829E-3</v>
      </c>
    </row>
    <row r="3" spans="1:21" x14ac:dyDescent="0.3">
      <c r="A3" t="s">
        <v>66</v>
      </c>
      <c r="B3" t="s">
        <v>69</v>
      </c>
      <c r="C3">
        <v>2</v>
      </c>
      <c r="D3" t="s">
        <v>70</v>
      </c>
      <c r="E3" t="s">
        <v>78</v>
      </c>
      <c r="F3" t="s">
        <v>72</v>
      </c>
      <c r="G3">
        <v>0.70033222897423197</v>
      </c>
      <c r="H3">
        <v>9.4517661008881801E-3</v>
      </c>
      <c r="I3">
        <v>0</v>
      </c>
      <c r="J3">
        <v>4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0.69996777605428784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4.0416786237738164E-3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5.0184068394496829E-3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0.69336527496217903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0.70347399434935698</v>
      </c>
      <c r="U3">
        <f>IF((ContinuousStatsTable[[#This Row],[RepsRequested]]&gt;1),ContinuousStatsTable[[#This Row],[HalfWidth]],ContinuousStatsTable[[#This Row],[BatchMeansHalfWidth]])</f>
        <v>5.0184068394496829E-3</v>
      </c>
    </row>
    <row r="4" spans="1:21" x14ac:dyDescent="0.3">
      <c r="A4" t="s">
        <v>66</v>
      </c>
      <c r="B4" t="s">
        <v>69</v>
      </c>
      <c r="C4">
        <v>3</v>
      </c>
      <c r="D4" t="s">
        <v>70</v>
      </c>
      <c r="E4" t="s">
        <v>78</v>
      </c>
      <c r="F4" t="s">
        <v>72</v>
      </c>
      <c r="G4">
        <v>0.70300548700580401</v>
      </c>
      <c r="H4">
        <v>8.8060725262647192E-3</v>
      </c>
      <c r="I4">
        <v>0</v>
      </c>
      <c r="J4">
        <v>3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ProjectPartWIPEntity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0.69996777605428784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4.0416786237738164E-3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5.0184068394496829E-3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0.69336527496217903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0.70347399434935698</v>
      </c>
      <c r="U4">
        <f>IF((ContinuousStatsTable[[#This Row],[RepsRequested]]&gt;1),ContinuousStatsTable[[#This Row],[HalfWidth]],ContinuousStatsTable[[#This Row],[BatchMeansHalfWidth]])</f>
        <v>5.0184068394496829E-3</v>
      </c>
    </row>
    <row r="5" spans="1:21" x14ac:dyDescent="0.3">
      <c r="A5" t="s">
        <v>66</v>
      </c>
      <c r="B5" t="s">
        <v>69</v>
      </c>
      <c r="C5">
        <v>4</v>
      </c>
      <c r="D5" t="s">
        <v>70</v>
      </c>
      <c r="E5" t="s">
        <v>78</v>
      </c>
      <c r="F5" t="s">
        <v>72</v>
      </c>
      <c r="G5">
        <v>0.70347399434935698</v>
      </c>
      <c r="H5">
        <v>9.0671152847099402E-3</v>
      </c>
      <c r="I5">
        <v>0</v>
      </c>
      <c r="J5">
        <v>4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0.69996777605428784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4.0416786237738164E-3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5.0184068394496829E-3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0.69336527496217903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0.70347399434935698</v>
      </c>
      <c r="U5">
        <f>IF((ContinuousStatsTable[[#This Row],[RepsRequested]]&gt;1),ContinuousStatsTable[[#This Row],[HalfWidth]],ContinuousStatsTable[[#This Row],[BatchMeansHalfWidth]])</f>
        <v>5.0184068394496829E-3</v>
      </c>
    </row>
    <row r="6" spans="1:21" x14ac:dyDescent="0.3">
      <c r="A6" t="s">
        <v>66</v>
      </c>
      <c r="B6" t="s">
        <v>69</v>
      </c>
      <c r="C6">
        <v>5</v>
      </c>
      <c r="D6" t="s">
        <v>70</v>
      </c>
      <c r="E6" t="s">
        <v>78</v>
      </c>
      <c r="F6" t="s">
        <v>72</v>
      </c>
      <c r="G6">
        <v>0.69336527496217903</v>
      </c>
      <c r="H6">
        <v>1.1364317436485499E-2</v>
      </c>
      <c r="I6">
        <v>0</v>
      </c>
      <c r="J6">
        <v>4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0.69996777605428784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4.0416786237738164E-3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5.0184068394496829E-3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0.69336527496217903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0.70347399434935698</v>
      </c>
      <c r="U6">
        <f>IF((ContinuousStatsTable[[#This Row],[RepsRequested]]&gt;1),ContinuousStatsTable[[#This Row],[HalfWidth]],ContinuousStatsTable[[#This Row],[BatchMeansHalfWidth]])</f>
        <v>5.0184068394496829E-3</v>
      </c>
    </row>
    <row r="7" spans="1:21" x14ac:dyDescent="0.3"/>
    <row r="8" spans="1:21" x14ac:dyDescent="0.3"/>
    <row r="9" spans="1:21" x14ac:dyDescent="0.3"/>
    <row r="10" spans="1:21" x14ac:dyDescent="0.3"/>
    <row r="11" spans="1:21" x14ac:dyDescent="0.3"/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7.1640625" bestFit="1" customWidth="1"/>
    <col min="5" max="5" width="11.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48.58203125" bestFit="1" customWidth="1"/>
    <col min="10" max="10" width="16.4140625" bestFit="1" customWidth="1"/>
    <col min="11" max="11" width="10.08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79</v>
      </c>
      <c r="E2" t="s">
        <v>80</v>
      </c>
      <c r="F2" t="s">
        <v>72</v>
      </c>
      <c r="G2">
        <v>5980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5984</v>
      </c>
      <c r="L2" cm="1">
        <f t="array" ref="L2">IFERROR(_xlfn.STDEV.S(IF((OutputTable[GroupByKey]=OutputTable[[#This Row],[GroupByKey]]),(OutputTable[GroupByKey]=OutputTable[[#This Row],[GroupByKey]])*OutputTable[RecordedValue])),0)</f>
        <v>21.130546609115438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26.237038986905262</v>
      </c>
      <c r="O2" cm="1">
        <f t="array" ref="O2">MIN(IF((OutputTable[GroupByKey]=OutputTable[[#This Row],[GroupByKey]]),(OutputTable[GroupByKey]=OutputTable[[#This Row],[GroupByKey]])*OutputTable[RecordedValue]))</f>
        <v>5968</v>
      </c>
      <c r="P2" cm="1">
        <f t="array" ref="P2">MAX(IF((OutputTable[GroupByKey]=OutputTable[[#This Row],[GroupByKey]]),(OutputTable[GroupByKey]=OutputTable[[#This Row],[GroupByKey]])*OutputTable[RecordedValue]))</f>
        <v>6021</v>
      </c>
    </row>
    <row r="3" spans="1:16" x14ac:dyDescent="0.3">
      <c r="A3" t="s">
        <v>66</v>
      </c>
      <c r="B3" t="s">
        <v>69</v>
      </c>
      <c r="C3">
        <v>1</v>
      </c>
      <c r="D3" t="s">
        <v>81</v>
      </c>
      <c r="E3" t="s">
        <v>82</v>
      </c>
      <c r="F3" t="s">
        <v>72</v>
      </c>
      <c r="G3">
        <v>5980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5983.8</v>
      </c>
      <c r="L3" cm="1">
        <f t="array" ref="L3">IFERROR(_xlfn.STDEV.S(IF((OutputTable[GroupByKey]=OutputTable[[#This Row],[GroupByKey]]),(OutputTable[GroupByKey]=OutputTable[[#This Row],[GroupByKey]])*OutputTable[RecordedValue])),0)</f>
        <v>21.15892246783848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3" cm="1">
        <f t="array" ref="O3">MIN(IF((OutputTable[GroupByKey]=OutputTable[[#This Row],[GroupByKey]]),(OutputTable[GroupByKey]=OutputTable[[#This Row],[GroupByKey]])*OutputTable[RecordedValue]))</f>
        <v>5969</v>
      </c>
      <c r="P3" cm="1">
        <f t="array" ref="P3">MAX(IF((OutputTable[GroupByKey]=OutputTable[[#This Row],[GroupByKey]]),(OutputTable[GroupByKey]=OutputTable[[#This Row],[GroupByKey]])*OutputTable[RecordedValue]))</f>
        <v>6021</v>
      </c>
    </row>
    <row r="4" spans="1:16" x14ac:dyDescent="0.3">
      <c r="A4" t="s">
        <v>66</v>
      </c>
      <c r="B4" t="s">
        <v>69</v>
      </c>
      <c r="C4">
        <v>1</v>
      </c>
      <c r="D4" t="s">
        <v>83</v>
      </c>
      <c r="E4" t="s">
        <v>82</v>
      </c>
      <c r="F4" t="s">
        <v>84</v>
      </c>
      <c r="G4">
        <v>5980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5983.8</v>
      </c>
      <c r="L4" cm="1">
        <f t="array" ref="L4">IFERROR(_xlfn.STDEV.S(IF((OutputTable[GroupByKey]=OutputTable[[#This Row],[GroupByKey]]),(OutputTable[GroupByKey]=OutputTable[[#This Row],[GroupByKey]])*OutputTable[RecordedValue])),0)</f>
        <v>21.15892246783848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4" cm="1">
        <f t="array" ref="O4">MIN(IF((OutputTable[GroupByKey]=OutputTable[[#This Row],[GroupByKey]]),(OutputTable[GroupByKey]=OutputTable[[#This Row],[GroupByKey]])*OutputTable[RecordedValue]))</f>
        <v>5969</v>
      </c>
      <c r="P4" cm="1">
        <f t="array" ref="P4">MAX(IF((OutputTable[GroupByKey]=OutputTable[[#This Row],[GroupByKey]]),(OutputTable[GroupByKey]=OutputTable[[#This Row],[GroupByKey]])*OutputTable[RecordedValue]))</f>
        <v>6021</v>
      </c>
    </row>
    <row r="5" spans="1:16" x14ac:dyDescent="0.3">
      <c r="A5" t="s">
        <v>66</v>
      </c>
      <c r="B5" t="s">
        <v>69</v>
      </c>
      <c r="C5">
        <v>2</v>
      </c>
      <c r="D5" t="s">
        <v>79</v>
      </c>
      <c r="E5" t="s">
        <v>80</v>
      </c>
      <c r="F5" t="s">
        <v>72</v>
      </c>
      <c r="G5">
        <v>5975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ProjectPart.NumberInNumber InEntity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5984</v>
      </c>
      <c r="L5" cm="1">
        <f t="array" ref="L5">IFERROR(_xlfn.STDEV.S(IF((OutputTable[GroupByKey]=OutputTable[[#This Row],[GroupByKey]]),(OutputTable[GroupByKey]=OutputTable[[#This Row],[GroupByKey]])*OutputTable[RecordedValue])),0)</f>
        <v>21.130546609115438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26.237038986905262</v>
      </c>
      <c r="O5" cm="1">
        <f t="array" ref="O5">MIN(IF((OutputTable[GroupByKey]=OutputTable[[#This Row],[GroupByKey]]),(OutputTable[GroupByKey]=OutputTable[[#This Row],[GroupByKey]])*OutputTable[RecordedValue]))</f>
        <v>5968</v>
      </c>
      <c r="P5" cm="1">
        <f t="array" ref="P5">MAX(IF((OutputTable[GroupByKey]=OutputTable[[#This Row],[GroupByKey]]),(OutputTable[GroupByKey]=OutputTable[[#This Row],[GroupByKey]])*OutputTable[RecordedValue]))</f>
        <v>6021</v>
      </c>
    </row>
    <row r="6" spans="1:16" x14ac:dyDescent="0.3">
      <c r="A6" t="s">
        <v>66</v>
      </c>
      <c r="B6" t="s">
        <v>69</v>
      </c>
      <c r="C6">
        <v>2</v>
      </c>
      <c r="D6" t="s">
        <v>81</v>
      </c>
      <c r="E6" t="s">
        <v>82</v>
      </c>
      <c r="F6" t="s">
        <v>72</v>
      </c>
      <c r="G6">
        <v>5974</v>
      </c>
      <c r="H6">
        <v>0</v>
      </c>
      <c r="I6" t="str">
        <f>OutputTable[[#This Row],[ProjectName]]&amp;OutputTable[[#This Row],[Name]]&amp;OutputTable[[#This Row],[Type]]&amp;OutputTable[[#This Row],[Source]]</f>
        <v>Unnamed ProjectPart.NumberOutNumber OutEntity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5983.8</v>
      </c>
      <c r="L6" cm="1">
        <f t="array" ref="L6">IFERROR(_xlfn.STDEV.S(IF((OutputTable[GroupByKey]=OutputTable[[#This Row],[GroupByKey]]),(OutputTable[GroupByKey]=OutputTable[[#This Row],[GroupByKey]])*OutputTable[RecordedValue])),0)</f>
        <v>21.15892246783848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6" cm="1">
        <f t="array" ref="O6">MIN(IF((OutputTable[GroupByKey]=OutputTable[[#This Row],[GroupByKey]]),(OutputTable[GroupByKey]=OutputTable[[#This Row],[GroupByKey]])*OutputTable[RecordedValue]))</f>
        <v>5969</v>
      </c>
      <c r="P6" cm="1">
        <f t="array" ref="P6">MAX(IF((OutputTable[GroupByKey]=OutputTable[[#This Row],[GroupByKey]]),(OutputTable[GroupByKey]=OutputTable[[#This Row],[GroupByKey]])*OutputTable[RecordedValue]))</f>
        <v>6021</v>
      </c>
    </row>
    <row r="7" spans="1:16" x14ac:dyDescent="0.3">
      <c r="A7" t="s">
        <v>66</v>
      </c>
      <c r="B7" t="s">
        <v>69</v>
      </c>
      <c r="C7">
        <v>2</v>
      </c>
      <c r="D7" t="s">
        <v>83</v>
      </c>
      <c r="E7" t="s">
        <v>82</v>
      </c>
      <c r="F7" t="s">
        <v>84</v>
      </c>
      <c r="G7">
        <v>5974</v>
      </c>
      <c r="H7">
        <v>0</v>
      </c>
      <c r="I7" t="str">
        <f>OutputTable[[#This Row],[ProjectName]]&amp;OutputTable[[#This Row],[Name]]&amp;OutputTable[[#This Row],[Type]]&amp;OutputTable[[#This Row],[Source]]</f>
        <v>Unnamed ProjectSystem.NumberOutNumber OutSystem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5983.8</v>
      </c>
      <c r="L7" cm="1">
        <f t="array" ref="L7">IFERROR(_xlfn.STDEV.S(IF((OutputTable[GroupByKey]=OutputTable[[#This Row],[GroupByKey]]),(OutputTable[GroupByKey]=OutputTable[[#This Row],[GroupByKey]])*OutputTable[RecordedValue])),0)</f>
        <v>21.15892246783848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7" cm="1">
        <f t="array" ref="O7">MIN(IF((OutputTable[GroupByKey]=OutputTable[[#This Row],[GroupByKey]]),(OutputTable[GroupByKey]=OutputTable[[#This Row],[GroupByKey]])*OutputTable[RecordedValue]))</f>
        <v>5969</v>
      </c>
      <c r="P7" cm="1">
        <f t="array" ref="P7">MAX(IF((OutputTable[GroupByKey]=OutputTable[[#This Row],[GroupByKey]]),(OutputTable[GroupByKey]=OutputTable[[#This Row],[GroupByKey]])*OutputTable[RecordedValue]))</f>
        <v>6021</v>
      </c>
    </row>
    <row r="8" spans="1:16" x14ac:dyDescent="0.3">
      <c r="A8" t="s">
        <v>66</v>
      </c>
      <c r="B8" t="s">
        <v>69</v>
      </c>
      <c r="C8">
        <v>3</v>
      </c>
      <c r="D8" t="s">
        <v>79</v>
      </c>
      <c r="E8" t="s">
        <v>80</v>
      </c>
      <c r="F8" t="s">
        <v>72</v>
      </c>
      <c r="G8">
        <v>6021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5984</v>
      </c>
      <c r="L8" cm="1">
        <f t="array" ref="L8">IFERROR(_xlfn.STDEV.S(IF((OutputTable[GroupByKey]=OutputTable[[#This Row],[GroupByKey]]),(OutputTable[GroupByKey]=OutputTable[[#This Row],[GroupByKey]])*OutputTable[RecordedValue])),0)</f>
        <v>21.130546609115438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26.237038986905262</v>
      </c>
      <c r="O8" cm="1">
        <f t="array" ref="O8">MIN(IF((OutputTable[GroupByKey]=OutputTable[[#This Row],[GroupByKey]]),(OutputTable[GroupByKey]=OutputTable[[#This Row],[GroupByKey]])*OutputTable[RecordedValue]))</f>
        <v>5968</v>
      </c>
      <c r="P8" cm="1">
        <f t="array" ref="P8">MAX(IF((OutputTable[GroupByKey]=OutputTable[[#This Row],[GroupByKey]]),(OutputTable[GroupByKey]=OutputTable[[#This Row],[GroupByKey]])*OutputTable[RecordedValue]))</f>
        <v>6021</v>
      </c>
    </row>
    <row r="9" spans="1:16" x14ac:dyDescent="0.3">
      <c r="A9" t="s">
        <v>66</v>
      </c>
      <c r="B9" t="s">
        <v>69</v>
      </c>
      <c r="C9">
        <v>3</v>
      </c>
      <c r="D9" t="s">
        <v>81</v>
      </c>
      <c r="E9" t="s">
        <v>82</v>
      </c>
      <c r="F9" t="s">
        <v>72</v>
      </c>
      <c r="G9">
        <v>6021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5983.8</v>
      </c>
      <c r="L9" cm="1">
        <f t="array" ref="L9">IFERROR(_xlfn.STDEV.S(IF((OutputTable[GroupByKey]=OutputTable[[#This Row],[GroupByKey]]),(OutputTable[GroupByKey]=OutputTable[[#This Row],[GroupByKey]])*OutputTable[RecordedValue])),0)</f>
        <v>21.15892246783848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9" cm="1">
        <f t="array" ref="O9">MIN(IF((OutputTable[GroupByKey]=OutputTable[[#This Row],[GroupByKey]]),(OutputTable[GroupByKey]=OutputTable[[#This Row],[GroupByKey]])*OutputTable[RecordedValue]))</f>
        <v>5969</v>
      </c>
      <c r="P9" cm="1">
        <f t="array" ref="P9">MAX(IF((OutputTable[GroupByKey]=OutputTable[[#This Row],[GroupByKey]]),(OutputTable[GroupByKey]=OutputTable[[#This Row],[GroupByKey]])*OutputTable[RecordedValue]))</f>
        <v>6021</v>
      </c>
    </row>
    <row r="10" spans="1:16" x14ac:dyDescent="0.3">
      <c r="A10" t="s">
        <v>66</v>
      </c>
      <c r="B10" t="s">
        <v>69</v>
      </c>
      <c r="C10">
        <v>3</v>
      </c>
      <c r="D10" t="s">
        <v>83</v>
      </c>
      <c r="E10" t="s">
        <v>82</v>
      </c>
      <c r="F10" t="s">
        <v>84</v>
      </c>
      <c r="G10">
        <v>6021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5983.8</v>
      </c>
      <c r="L10" cm="1">
        <f t="array" ref="L10">IFERROR(_xlfn.STDEV.S(IF((OutputTable[GroupByKey]=OutputTable[[#This Row],[GroupByKey]]),(OutputTable[GroupByKey]=OutputTable[[#This Row],[GroupByKey]])*OutputTable[RecordedValue])),0)</f>
        <v>21.15892246783848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10" cm="1">
        <f t="array" ref="O10">MIN(IF((OutputTable[GroupByKey]=OutputTable[[#This Row],[GroupByKey]]),(OutputTable[GroupByKey]=OutputTable[[#This Row],[GroupByKey]])*OutputTable[RecordedValue]))</f>
        <v>5969</v>
      </c>
      <c r="P10" cm="1">
        <f t="array" ref="P10">MAX(IF((OutputTable[GroupByKey]=OutputTable[[#This Row],[GroupByKey]]),(OutputTable[GroupByKey]=OutputTable[[#This Row],[GroupByKey]])*OutputTable[RecordedValue]))</f>
        <v>6021</v>
      </c>
    </row>
    <row r="11" spans="1:16" x14ac:dyDescent="0.3">
      <c r="A11" t="s">
        <v>66</v>
      </c>
      <c r="B11" t="s">
        <v>69</v>
      </c>
      <c r="C11">
        <v>4</v>
      </c>
      <c r="D11" t="s">
        <v>79</v>
      </c>
      <c r="E11" t="s">
        <v>80</v>
      </c>
      <c r="F11" t="s">
        <v>72</v>
      </c>
      <c r="G11">
        <v>5968</v>
      </c>
      <c r="H11">
        <v>0</v>
      </c>
      <c r="I11" t="str">
        <f>OutputTable[[#This Row],[ProjectName]]&amp;OutputTable[[#This Row],[Name]]&amp;OutputTable[[#This Row],[Type]]&amp;OutputTable[[#This Row],[Source]]</f>
        <v>Unnamed ProjectPart.NumberInNumber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5984</v>
      </c>
      <c r="L11" cm="1">
        <f t="array" ref="L11">IFERROR(_xlfn.STDEV.S(IF((OutputTable[GroupByKey]=OutputTable[[#This Row],[GroupByKey]]),(OutputTable[GroupByKey]=OutputTable[[#This Row],[GroupByKey]])*OutputTable[RecordedValue])),0)</f>
        <v>21.130546609115438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26.237038986905262</v>
      </c>
      <c r="O11" cm="1">
        <f t="array" ref="O11">MIN(IF((OutputTable[GroupByKey]=OutputTable[[#This Row],[GroupByKey]]),(OutputTable[GroupByKey]=OutputTable[[#This Row],[GroupByKey]])*OutputTable[RecordedValue]))</f>
        <v>5968</v>
      </c>
      <c r="P11" cm="1">
        <f t="array" ref="P11">MAX(IF((OutputTable[GroupByKey]=OutputTable[[#This Row],[GroupByKey]]),(OutputTable[GroupByKey]=OutputTable[[#This Row],[GroupByKey]])*OutputTable[RecordedValue]))</f>
        <v>6021</v>
      </c>
    </row>
    <row r="12" spans="1:16" x14ac:dyDescent="0.3">
      <c r="A12" t="s">
        <v>66</v>
      </c>
      <c r="B12" t="s">
        <v>69</v>
      </c>
      <c r="C12">
        <v>4</v>
      </c>
      <c r="D12" t="s">
        <v>81</v>
      </c>
      <c r="E12" t="s">
        <v>82</v>
      </c>
      <c r="F12" t="s">
        <v>72</v>
      </c>
      <c r="G12">
        <v>5969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5983.8</v>
      </c>
      <c r="L12" cm="1">
        <f t="array" ref="L12">IFERROR(_xlfn.STDEV.S(IF((OutputTable[GroupByKey]=OutputTable[[#This Row],[GroupByKey]]),(OutputTable[GroupByKey]=OutputTable[[#This Row],[GroupByKey]])*OutputTable[RecordedValue])),0)</f>
        <v>21.15892246783848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12" cm="1">
        <f t="array" ref="O12">MIN(IF((OutputTable[GroupByKey]=OutputTable[[#This Row],[GroupByKey]]),(OutputTable[GroupByKey]=OutputTable[[#This Row],[GroupByKey]])*OutputTable[RecordedValue]))</f>
        <v>5969</v>
      </c>
      <c r="P12" cm="1">
        <f t="array" ref="P12">MAX(IF((OutputTable[GroupByKey]=OutputTable[[#This Row],[GroupByKey]]),(OutputTable[GroupByKey]=OutputTable[[#This Row],[GroupByKey]])*OutputTable[RecordedValue]))</f>
        <v>6021</v>
      </c>
    </row>
    <row r="13" spans="1:16" x14ac:dyDescent="0.3">
      <c r="A13" t="s">
        <v>66</v>
      </c>
      <c r="B13" t="s">
        <v>69</v>
      </c>
      <c r="C13">
        <v>4</v>
      </c>
      <c r="D13" t="s">
        <v>83</v>
      </c>
      <c r="E13" t="s">
        <v>82</v>
      </c>
      <c r="F13" t="s">
        <v>84</v>
      </c>
      <c r="G13">
        <v>5969</v>
      </c>
      <c r="H13">
        <v>0</v>
      </c>
      <c r="I13" t="str">
        <f>OutputTable[[#This Row],[ProjectName]]&amp;OutputTable[[#This Row],[Name]]&amp;OutputTable[[#This Row],[Type]]&amp;OutputTable[[#This Row],[Source]]</f>
        <v>Unnamed ProjectSystem.NumberOutNumber OutSystem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5983.8</v>
      </c>
      <c r="L13" cm="1">
        <f t="array" ref="L13">IFERROR(_xlfn.STDEV.S(IF((OutputTable[GroupByKey]=OutputTable[[#This Row],[GroupByKey]]),(OutputTable[GroupByKey]=OutputTable[[#This Row],[GroupByKey]])*OutputTable[RecordedValue])),0)</f>
        <v>21.15892246783848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13" cm="1">
        <f t="array" ref="O13">MIN(IF((OutputTable[GroupByKey]=OutputTable[[#This Row],[GroupByKey]]),(OutputTable[GroupByKey]=OutputTable[[#This Row],[GroupByKey]])*OutputTable[RecordedValue]))</f>
        <v>5969</v>
      </c>
      <c r="P13" cm="1">
        <f t="array" ref="P13">MAX(IF((OutputTable[GroupByKey]=OutputTable[[#This Row],[GroupByKey]]),(OutputTable[GroupByKey]=OutputTable[[#This Row],[GroupByKey]])*OutputTable[RecordedValue]))</f>
        <v>6021</v>
      </c>
    </row>
    <row r="14" spans="1:16" x14ac:dyDescent="0.3">
      <c r="A14" t="s">
        <v>66</v>
      </c>
      <c r="B14" t="s">
        <v>69</v>
      </c>
      <c r="C14">
        <v>5</v>
      </c>
      <c r="D14" t="s">
        <v>79</v>
      </c>
      <c r="E14" t="s">
        <v>80</v>
      </c>
      <c r="F14" t="s">
        <v>72</v>
      </c>
      <c r="G14">
        <v>5976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5984</v>
      </c>
      <c r="L14" cm="1">
        <f t="array" ref="L14">IFERROR(_xlfn.STDEV.S(IF((OutputTable[GroupByKey]=OutputTable[[#This Row],[GroupByKey]]),(OutputTable[GroupByKey]=OutputTable[[#This Row],[GroupByKey]])*OutputTable[RecordedValue])),0)</f>
        <v>21.130546609115438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26.237038986905262</v>
      </c>
      <c r="O14" cm="1">
        <f t="array" ref="O14">MIN(IF((OutputTable[GroupByKey]=OutputTable[[#This Row],[GroupByKey]]),(OutputTable[GroupByKey]=OutputTable[[#This Row],[GroupByKey]])*OutputTable[RecordedValue]))</f>
        <v>5968</v>
      </c>
      <c r="P14" cm="1">
        <f t="array" ref="P14">MAX(IF((OutputTable[GroupByKey]=OutputTable[[#This Row],[GroupByKey]]),(OutputTable[GroupByKey]=OutputTable[[#This Row],[GroupByKey]])*OutputTable[RecordedValue]))</f>
        <v>6021</v>
      </c>
    </row>
    <row r="15" spans="1:16" x14ac:dyDescent="0.3">
      <c r="A15" t="s">
        <v>66</v>
      </c>
      <c r="B15" t="s">
        <v>69</v>
      </c>
      <c r="C15">
        <v>5</v>
      </c>
      <c r="D15" t="s">
        <v>81</v>
      </c>
      <c r="E15" t="s">
        <v>82</v>
      </c>
      <c r="F15" t="s">
        <v>72</v>
      </c>
      <c r="G15">
        <v>5975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5983.8</v>
      </c>
      <c r="L15" cm="1">
        <f t="array" ref="L15">IFERROR(_xlfn.STDEV.S(IF((OutputTable[GroupByKey]=OutputTable[[#This Row],[GroupByKey]]),(OutputTable[GroupByKey]=OutputTable[[#This Row],[GroupByKey]])*OutputTable[RecordedValue])),0)</f>
        <v>21.15892246783848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15" cm="1">
        <f t="array" ref="O15">MIN(IF((OutputTable[GroupByKey]=OutputTable[[#This Row],[GroupByKey]]),(OutputTable[GroupByKey]=OutputTable[[#This Row],[GroupByKey]])*OutputTable[RecordedValue]))</f>
        <v>5969</v>
      </c>
      <c r="P15" cm="1">
        <f t="array" ref="P15">MAX(IF((OutputTable[GroupByKey]=OutputTable[[#This Row],[GroupByKey]]),(OutputTable[GroupByKey]=OutputTable[[#This Row],[GroupByKey]])*OutputTable[RecordedValue]))</f>
        <v>6021</v>
      </c>
    </row>
    <row r="16" spans="1:16" x14ac:dyDescent="0.3">
      <c r="A16" t="s">
        <v>66</v>
      </c>
      <c r="B16" t="s">
        <v>69</v>
      </c>
      <c r="C16">
        <v>5</v>
      </c>
      <c r="D16" t="s">
        <v>83</v>
      </c>
      <c r="E16" t="s">
        <v>82</v>
      </c>
      <c r="F16" t="s">
        <v>84</v>
      </c>
      <c r="G16">
        <v>5975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5983.8</v>
      </c>
      <c r="L16" cm="1">
        <f t="array" ref="L16">IFERROR(_xlfn.STDEV.S(IF((OutputTable[GroupByKey]=OutputTable[[#This Row],[GroupByKey]]),(OutputTable[GroupByKey]=OutputTable[[#This Row],[GroupByKey]])*OutputTable[RecordedValue])),0)</f>
        <v>21.15892246783848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26.27227226909978</v>
      </c>
      <c r="O16" cm="1">
        <f t="array" ref="O16">MIN(IF((OutputTable[GroupByKey]=OutputTable[[#This Row],[GroupByKey]]),(OutputTable[GroupByKey]=OutputTable[[#This Row],[GroupByKey]])*OutputTable[RecordedValue]))</f>
        <v>5969</v>
      </c>
      <c r="P16" cm="1">
        <f t="array" ref="P16">MAX(IF((OutputTable[GroupByKey]=OutputTable[[#This Row],[GroupByKey]]),(OutputTable[GroupByKey]=OutputTable[[#This Row],[GroupByKey]])*OutputTable[RecordedValue]))</f>
        <v>6021</v>
      </c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16">
    <cfRule type="expression" dxfId="3" priority="2">
      <formula>MOD(ROW(),2)=0</formula>
    </cfRule>
  </conditionalFormatting>
  <conditionalFormatting sqref="N2:N1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2025-04-26T07:50:08Z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