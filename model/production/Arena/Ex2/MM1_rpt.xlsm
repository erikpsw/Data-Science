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2\"/>
    </mc:Choice>
  </mc:AlternateContent>
  <xr:revisionPtr revIDLastSave="0" documentId="13_ncr:1_{3370A016-AF3D-4048-8C1B-09B4FAC03DEA}" xr6:coauthVersionLast="47" xr6:coauthVersionMax="47" xr10:uidLastSave="{00000000-0000-0000-0000-000000000000}"/>
  <bookViews>
    <workbookView xWindow="1100" yWindow="1100" windowWidth="19200" windowHeight="112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ContinuousTimeStatsByRep!$A$1:$L$31</definedName>
    <definedName name="ExternalData_1" localSheetId="4" hidden="1">CounterStatsByRep!$A$1:$G$2</definedName>
    <definedName name="ExternalData_1" localSheetId="2" hidden="1">DiscreteTimeStatsByRep!$A$1:$K$41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K11" i="20" s="1" a="1"/>
  <c r="K11" i="20" s="1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L18" i="20" s="1" a="1"/>
  <c r="L18" i="20" s="1"/>
  <c r="I19" i="20"/>
  <c r="I20" i="20"/>
  <c r="O20" i="20" s="1" a="1"/>
  <c r="O20" i="20" s="1"/>
  <c r="I21" i="20"/>
  <c r="I22" i="20"/>
  <c r="I23" i="20"/>
  <c r="I24" i="20"/>
  <c r="I25" i="20"/>
  <c r="I26" i="20"/>
  <c r="J2" i="20" a="1"/>
  <c r="J2" i="20" s="1"/>
  <c r="J3" i="20" a="1"/>
  <c r="J3" i="20"/>
  <c r="J4" i="20" a="1"/>
  <c r="J4" i="20" s="1"/>
  <c r="J5" i="20" a="1"/>
  <c r="J5" i="20" s="1"/>
  <c r="J6" i="20" a="1"/>
  <c r="J6" i="20" s="1"/>
  <c r="J7" i="20" a="1"/>
  <c r="J7" i="20" s="1"/>
  <c r="J8" i="20" a="1"/>
  <c r="J8" i="20"/>
  <c r="J9" i="20" a="1"/>
  <c r="J9" i="20"/>
  <c r="J10" i="20" a="1"/>
  <c r="J10" i="20" s="1"/>
  <c r="J11" i="20" a="1"/>
  <c r="J11" i="20" s="1"/>
  <c r="J12" i="20" a="1"/>
  <c r="J12" i="20" s="1"/>
  <c r="J13" i="20" a="1"/>
  <c r="J13" i="20"/>
  <c r="J14" i="20" a="1"/>
  <c r="J14" i="20" s="1"/>
  <c r="J15" i="20" a="1"/>
  <c r="J15" i="20" s="1"/>
  <c r="J16" i="20" a="1"/>
  <c r="J16" i="20" s="1"/>
  <c r="J17" i="20" a="1"/>
  <c r="J17" i="20"/>
  <c r="J18" i="20" a="1"/>
  <c r="J18" i="20" s="1"/>
  <c r="J19" i="20" a="1"/>
  <c r="J19" i="20" s="1"/>
  <c r="J20" i="20" a="1"/>
  <c r="J20" i="20" s="1"/>
  <c r="J21" i="20" a="1"/>
  <c r="J21" i="20"/>
  <c r="J22" i="20" a="1"/>
  <c r="J22" i="20" s="1"/>
  <c r="J23" i="20" a="1"/>
  <c r="J23" i="20" s="1"/>
  <c r="J24" i="20" a="1"/>
  <c r="J24" i="20"/>
  <c r="J25" i="20" a="1"/>
  <c r="J25" i="20"/>
  <c r="J26" i="20" a="1"/>
  <c r="J26" i="20" s="1"/>
  <c r="L10" i="20" a="1"/>
  <c r="L10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T5" i="18" s="1" a="1"/>
  <c r="T5" i="18" s="1"/>
  <c r="M14" i="18"/>
  <c r="T23" i="18" s="1" a="1"/>
  <c r="T23" i="18" s="1"/>
  <c r="M15" i="18"/>
  <c r="O13" i="18" s="1" a="1"/>
  <c r="O13" i="18" s="1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O31" i="18" s="1" a="1"/>
  <c r="O31" i="18" s="1"/>
  <c r="N2" i="18" a="1"/>
  <c r="N2" i="18" s="1"/>
  <c r="N3" i="18" a="1"/>
  <c r="N3" i="18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/>
  <c r="N24" i="18" a="1"/>
  <c r="N24" i="18" s="1"/>
  <c r="N25" i="18" a="1"/>
  <c r="N25" i="18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T31" i="18" a="1"/>
  <c r="T31" i="18" s="1"/>
  <c r="L2" i="17"/>
  <c r="L7" i="17"/>
  <c r="L12" i="17"/>
  <c r="L13" i="17"/>
  <c r="L14" i="17"/>
  <c r="L15" i="17"/>
  <c r="L16" i="17"/>
  <c r="L17" i="17"/>
  <c r="L3" i="17"/>
  <c r="L8" i="17"/>
  <c r="L18" i="17"/>
  <c r="L19" i="17"/>
  <c r="L20" i="17"/>
  <c r="L21" i="17"/>
  <c r="V21" i="17" s="1" a="1"/>
  <c r="V21" i="17" s="1"/>
  <c r="L22" i="17"/>
  <c r="L23" i="17"/>
  <c r="L4" i="17"/>
  <c r="L9" i="17"/>
  <c r="L24" i="17"/>
  <c r="L25" i="17"/>
  <c r="L26" i="17"/>
  <c r="L27" i="17"/>
  <c r="L28" i="17"/>
  <c r="L29" i="17"/>
  <c r="L5" i="17"/>
  <c r="L10" i="17"/>
  <c r="L30" i="17"/>
  <c r="L31" i="17"/>
  <c r="L32" i="17"/>
  <c r="L33" i="17"/>
  <c r="U33" i="17" s="1" a="1"/>
  <c r="U33" i="17" s="1"/>
  <c r="L34" i="17"/>
  <c r="L35" i="17"/>
  <c r="L6" i="17"/>
  <c r="L11" i="17"/>
  <c r="L36" i="17"/>
  <c r="L37" i="17"/>
  <c r="L38" i="17"/>
  <c r="L39" i="17"/>
  <c r="L40" i="17"/>
  <c r="L41" i="17"/>
  <c r="M2" i="17" a="1"/>
  <c r="M2" i="17"/>
  <c r="M7" i="17" a="1"/>
  <c r="M7" i="17"/>
  <c r="M12" i="17" a="1"/>
  <c r="M12" i="17"/>
  <c r="M13" i="17" a="1"/>
  <c r="M13" i="17" s="1"/>
  <c r="M14" i="17" a="1"/>
  <c r="M14" i="17"/>
  <c r="M15" i="17" a="1"/>
  <c r="M15" i="17" s="1"/>
  <c r="M16" i="17" a="1"/>
  <c r="M16" i="17" s="1"/>
  <c r="M17" i="17" a="1"/>
  <c r="M17" i="17" s="1"/>
  <c r="M3" i="17" a="1"/>
  <c r="M3" i="17" s="1"/>
  <c r="M8" i="17" a="1"/>
  <c r="M8" i="17" s="1"/>
  <c r="M18" i="17" a="1"/>
  <c r="M18" i="17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4" i="17" a="1"/>
  <c r="M4" i="17" s="1"/>
  <c r="M9" i="17" a="1"/>
  <c r="M9" i="17" s="1"/>
  <c r="M24" i="17" a="1"/>
  <c r="M24" i="17"/>
  <c r="M25" i="17" a="1"/>
  <c r="M25" i="17" s="1"/>
  <c r="M26" i="17" a="1"/>
  <c r="M26" i="17" s="1"/>
  <c r="M27" i="17" a="1"/>
  <c r="M27" i="17" s="1"/>
  <c r="M28" i="17" a="1"/>
  <c r="M28" i="17"/>
  <c r="M29" i="17" a="1"/>
  <c r="M29" i="17" s="1"/>
  <c r="M5" i="17" a="1"/>
  <c r="M5" i="17"/>
  <c r="M10" i="17" a="1"/>
  <c r="M10" i="17" s="1"/>
  <c r="M30" i="17" a="1"/>
  <c r="M30" i="17"/>
  <c r="M31" i="17" a="1"/>
  <c r="M31" i="17" s="1"/>
  <c r="M32" i="17" a="1"/>
  <c r="M32" i="17" s="1"/>
  <c r="M33" i="17" a="1"/>
  <c r="M33" i="17" s="1"/>
  <c r="M34" i="17" a="1"/>
  <c r="M34" i="17" s="1"/>
  <c r="M35" i="17" a="1"/>
  <c r="M35" i="17" s="1"/>
  <c r="M6" i="17" a="1"/>
  <c r="M6" i="17" s="1"/>
  <c r="M11" i="17" a="1"/>
  <c r="M11" i="17" s="1"/>
  <c r="M36" i="17" a="1"/>
  <c r="M36" i="17" s="1"/>
  <c r="M37" i="17" a="1"/>
  <c r="M37" i="17"/>
  <c r="M38" i="17" a="1"/>
  <c r="M38" i="17" s="1"/>
  <c r="M39" i="17" a="1"/>
  <c r="M39" i="17" s="1"/>
  <c r="M40" i="17" a="1"/>
  <c r="M40" i="17" s="1"/>
  <c r="M41" i="17" a="1"/>
  <c r="M41" i="17"/>
  <c r="P2" i="17" a="1"/>
  <c r="P2" i="17" s="1"/>
  <c r="P7" i="17" a="1"/>
  <c r="P7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3" i="17" a="1"/>
  <c r="P3" i="17"/>
  <c r="P8" i="17" a="1"/>
  <c r="P8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4" i="17" a="1"/>
  <c r="P4" i="17" s="1"/>
  <c r="P9" i="17" a="1"/>
  <c r="P9" i="17" s="1"/>
  <c r="P24" i="17" a="1"/>
  <c r="P24" i="17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5" i="17" a="1"/>
  <c r="P5" i="17"/>
  <c r="P10" i="17" a="1"/>
  <c r="P10" i="17" s="1"/>
  <c r="P30" i="17" a="1"/>
  <c r="P30" i="17" s="1"/>
  <c r="P31" i="17" a="1"/>
  <c r="P31" i="17" s="1"/>
  <c r="P32" i="17" a="1"/>
  <c r="P32" i="17" s="1"/>
  <c r="P33" i="17" a="1"/>
  <c r="P33" i="17" s="1"/>
  <c r="P34" i="17" a="1"/>
  <c r="P34" i="17" s="1"/>
  <c r="P35" i="17" a="1"/>
  <c r="P35" i="17" s="1"/>
  <c r="P6" i="17" a="1"/>
  <c r="P6" i="17"/>
  <c r="P11" i="17" a="1"/>
  <c r="P11" i="17" s="1"/>
  <c r="P36" i="17" a="1"/>
  <c r="P36" i="17" s="1"/>
  <c r="P37" i="17" a="1"/>
  <c r="P37" i="17" s="1"/>
  <c r="P38" i="17" a="1"/>
  <c r="P38" i="17" s="1"/>
  <c r="P39" i="17" a="1"/>
  <c r="P39" i="17" s="1"/>
  <c r="P40" i="17" a="1"/>
  <c r="P40" i="17" s="1"/>
  <c r="P41" i="17" a="1"/>
  <c r="P41" i="17" s="1"/>
  <c r="G2" i="16"/>
  <c r="P19" i="20" l="1" a="1"/>
  <c r="P19" i="20" s="1"/>
  <c r="O5" i="20" a="1"/>
  <c r="O5" i="20" s="1"/>
  <c r="K19" i="20" a="1"/>
  <c r="K19" i="20" s="1"/>
  <c r="K3" i="20" a="1"/>
  <c r="K3" i="20" s="1"/>
  <c r="P12" i="20" a="1"/>
  <c r="P12" i="20" s="1"/>
  <c r="P11" i="20" a="1"/>
  <c r="P11" i="20" s="1"/>
  <c r="L12" i="20" a="1"/>
  <c r="L12" i="20" s="1"/>
  <c r="O10" i="20" a="1"/>
  <c r="O10" i="20" s="1"/>
  <c r="O19" i="20" a="1"/>
  <c r="O19" i="20" s="1"/>
  <c r="O26" i="20" a="1"/>
  <c r="O26" i="20" s="1"/>
  <c r="K24" i="20" a="1"/>
  <c r="K24" i="20" s="1"/>
  <c r="K8" i="20" a="1"/>
  <c r="K8" i="20" s="1"/>
  <c r="L26" i="20" a="1"/>
  <c r="L26" i="20" s="1"/>
  <c r="N26" i="20" s="1"/>
  <c r="O4" i="20" a="1"/>
  <c r="O4" i="20" s="1"/>
  <c r="L2" i="20" a="1"/>
  <c r="L2" i="20" s="1"/>
  <c r="N18" i="20"/>
  <c r="O18" i="20" a="1"/>
  <c r="O18" i="20" s="1"/>
  <c r="O7" i="20" a="1"/>
  <c r="O7" i="20" s="1"/>
  <c r="N2" i="20"/>
  <c r="N12" i="20"/>
  <c r="N10" i="20"/>
  <c r="P10" i="20" a="1"/>
  <c r="P10" i="20" s="1"/>
  <c r="L21" i="20" a="1"/>
  <c r="L21" i="20" s="1"/>
  <c r="N21" i="20" s="1"/>
  <c r="L20" i="20" a="1"/>
  <c r="L20" i="20" s="1"/>
  <c r="N20" i="20" s="1"/>
  <c r="P20" i="20" a="1"/>
  <c r="P20" i="20" s="1"/>
  <c r="O21" i="20" a="1"/>
  <c r="O21" i="20" s="1"/>
  <c r="L11" i="20" a="1"/>
  <c r="L11" i="20" s="1"/>
  <c r="N11" i="20" s="1"/>
  <c r="L3" i="20" a="1"/>
  <c r="L3" i="20" s="1"/>
  <c r="N3" i="20" s="1"/>
  <c r="K20" i="20" a="1"/>
  <c r="K20" i="20" s="1"/>
  <c r="K12" i="20" a="1"/>
  <c r="K12" i="20" s="1"/>
  <c r="K4" i="20" a="1"/>
  <c r="K4" i="20" s="1"/>
  <c r="P26" i="20" a="1"/>
  <c r="P26" i="20" s="1"/>
  <c r="L24" i="20" a="1"/>
  <c r="L24" i="20" s="1"/>
  <c r="N24" i="20" s="1"/>
  <c r="P5" i="20" a="1"/>
  <c r="P5" i="20" s="1"/>
  <c r="K21" i="20" a="1"/>
  <c r="K21" i="20" s="1"/>
  <c r="K13" i="20" a="1"/>
  <c r="K13" i="20" s="1"/>
  <c r="P4" i="20" a="1"/>
  <c r="P4" i="20" s="1"/>
  <c r="O13" i="20" a="1"/>
  <c r="O13" i="20" s="1"/>
  <c r="L19" i="20" a="1"/>
  <c r="L19" i="20" s="1"/>
  <c r="N19" i="20" s="1"/>
  <c r="P3" i="20" a="1"/>
  <c r="P3" i="20" s="1"/>
  <c r="O12" i="20" a="1"/>
  <c r="O12" i="20" s="1"/>
  <c r="K18" i="20" a="1"/>
  <c r="K18" i="20" s="1"/>
  <c r="K10" i="20" a="1"/>
  <c r="K10" i="20" s="1"/>
  <c r="K2" i="20" a="1"/>
  <c r="K2" i="20" s="1"/>
  <c r="P25" i="20" a="1"/>
  <c r="P25" i="20" s="1"/>
  <c r="P17" i="20" a="1"/>
  <c r="P17" i="20" s="1"/>
  <c r="P9" i="20" a="1"/>
  <c r="P9" i="20" s="1"/>
  <c r="O2" i="20" a="1"/>
  <c r="O2" i="20" s="1"/>
  <c r="P18" i="20" a="1"/>
  <c r="P18" i="20" s="1"/>
  <c r="L8" i="20" a="1"/>
  <c r="L8" i="20" s="1"/>
  <c r="N8" i="20" s="1"/>
  <c r="K25" i="20" a="1"/>
  <c r="K25" i="20" s="1"/>
  <c r="K17" i="20" a="1"/>
  <c r="K17" i="20" s="1"/>
  <c r="K9" i="20" a="1"/>
  <c r="K9" i="20" s="1"/>
  <c r="L25" i="20" a="1"/>
  <c r="L25" i="20" s="1"/>
  <c r="N25" i="20" s="1"/>
  <c r="P8" i="20" a="1"/>
  <c r="P8" i="20" s="1"/>
  <c r="O17" i="20" a="1"/>
  <c r="O17" i="20" s="1"/>
  <c r="O9" i="20" a="1"/>
  <c r="O9" i="20" s="1"/>
  <c r="K26" i="20" a="1"/>
  <c r="K26" i="20" s="1"/>
  <c r="P16" i="20" a="1"/>
  <c r="P16" i="20" s="1"/>
  <c r="O25" i="20" a="1"/>
  <c r="O25" i="20" s="1"/>
  <c r="L23" i="20" a="1"/>
  <c r="L23" i="20" s="1"/>
  <c r="N23" i="20" s="1"/>
  <c r="L15" i="20" a="1"/>
  <c r="L15" i="20" s="1"/>
  <c r="N15" i="20" s="1"/>
  <c r="L7" i="20" a="1"/>
  <c r="L7" i="20" s="1"/>
  <c r="N7" i="20" s="1"/>
  <c r="K16" i="20" a="1"/>
  <c r="K16" i="20" s="1"/>
  <c r="L9" i="20" a="1"/>
  <c r="L9" i="20" s="1"/>
  <c r="N9" i="20" s="1"/>
  <c r="P7" i="20" a="1"/>
  <c r="P7" i="20" s="1"/>
  <c r="O16" i="20" a="1"/>
  <c r="O16" i="20" s="1"/>
  <c r="O8" i="20" a="1"/>
  <c r="O8" i="20" s="1"/>
  <c r="P2" i="20" a="1"/>
  <c r="P2" i="20" s="1"/>
  <c r="P23" i="20" a="1"/>
  <c r="P23" i="20" s="1"/>
  <c r="P15" i="20" a="1"/>
  <c r="P15" i="20" s="1"/>
  <c r="O24" i="20" a="1"/>
  <c r="O24" i="20" s="1"/>
  <c r="L22" i="20" a="1"/>
  <c r="L22" i="20" s="1"/>
  <c r="N22" i="20" s="1"/>
  <c r="L14" i="20" a="1"/>
  <c r="L14" i="20" s="1"/>
  <c r="N14" i="20" s="1"/>
  <c r="L6" i="20" a="1"/>
  <c r="L6" i="20" s="1"/>
  <c r="N6" i="20" s="1"/>
  <c r="K23" i="20" a="1"/>
  <c r="K23" i="20" s="1"/>
  <c r="K15" i="20" a="1"/>
  <c r="K15" i="20" s="1"/>
  <c r="K7" i="20" a="1"/>
  <c r="K7" i="20" s="1"/>
  <c r="O3" i="20" a="1"/>
  <c r="O3" i="20" s="1"/>
  <c r="P24" i="20" a="1"/>
  <c r="P24" i="20" s="1"/>
  <c r="P22" i="20" a="1"/>
  <c r="P22" i="20" s="1"/>
  <c r="P14" i="20" a="1"/>
  <c r="P14" i="20" s="1"/>
  <c r="P6" i="20" a="1"/>
  <c r="P6" i="20" s="1"/>
  <c r="O23" i="20" a="1"/>
  <c r="O23" i="20" s="1"/>
  <c r="O15" i="20" a="1"/>
  <c r="O15" i="20" s="1"/>
  <c r="O11" i="20" a="1"/>
  <c r="O11" i="20" s="1"/>
  <c r="L13" i="20" a="1"/>
  <c r="L13" i="20" s="1"/>
  <c r="N13" i="20" s="1"/>
  <c r="L5" i="20" a="1"/>
  <c r="L5" i="20" s="1"/>
  <c r="N5" i="20" s="1"/>
  <c r="K22" i="20" a="1"/>
  <c r="K22" i="20" s="1"/>
  <c r="K14" i="20" a="1"/>
  <c r="K14" i="20" s="1"/>
  <c r="K6" i="20" a="1"/>
  <c r="K6" i="20" s="1"/>
  <c r="L17" i="20" a="1"/>
  <c r="L17" i="20" s="1"/>
  <c r="N17" i="20" s="1"/>
  <c r="P21" i="20" a="1"/>
  <c r="P21" i="20" s="1"/>
  <c r="O22" i="20" a="1"/>
  <c r="O22" i="20" s="1"/>
  <c r="O14" i="20" a="1"/>
  <c r="O14" i="20" s="1"/>
  <c r="O6" i="20" a="1"/>
  <c r="O6" i="20" s="1"/>
  <c r="P13" i="20" a="1"/>
  <c r="P13" i="20" s="1"/>
  <c r="L4" i="20" a="1"/>
  <c r="L4" i="20" s="1"/>
  <c r="N4" i="20" s="1"/>
  <c r="K5" i="20" a="1"/>
  <c r="K5" i="20" s="1"/>
  <c r="L16" i="20" a="1"/>
  <c r="L16" i="20" s="1"/>
  <c r="N16" i="20" s="1"/>
  <c r="O19" i="18" a="1"/>
  <c r="O19" i="18" s="1"/>
  <c r="O12" i="18" a="1"/>
  <c r="O12" i="18" s="1"/>
  <c r="T21" i="18" a="1"/>
  <c r="T21" i="18" s="1"/>
  <c r="O11" i="18" a="1"/>
  <c r="O11" i="18" s="1"/>
  <c r="T13" i="18" a="1"/>
  <c r="T13" i="18" s="1"/>
  <c r="T29" i="18" a="1"/>
  <c r="T29" i="18" s="1"/>
  <c r="T15" i="18" a="1"/>
  <c r="T15" i="18" s="1"/>
  <c r="O28" i="18" a="1"/>
  <c r="O28" i="18" s="1"/>
  <c r="O27" i="18" a="1"/>
  <c r="O27" i="18" s="1"/>
  <c r="O20" i="18" a="1"/>
  <c r="O20" i="18" s="1"/>
  <c r="O4" i="18" a="1"/>
  <c r="O4" i="18" s="1"/>
  <c r="O23" i="18" a="1"/>
  <c r="O23" i="18" s="1"/>
  <c r="O8" i="18" a="1"/>
  <c r="O8" i="18" s="1"/>
  <c r="R12" i="18"/>
  <c r="U12" i="18" s="1"/>
  <c r="T30" i="18" a="1"/>
  <c r="T30" i="18" s="1"/>
  <c r="T14" i="18" a="1"/>
  <c r="T14" i="18" s="1"/>
  <c r="T6" i="18" a="1"/>
  <c r="T6" i="18" s="1"/>
  <c r="S20" i="18" a="1"/>
  <c r="S20" i="18" s="1"/>
  <c r="S4" i="18" a="1"/>
  <c r="S4" i="18" s="1"/>
  <c r="P31" i="18" a="1"/>
  <c r="P31" i="18" s="1"/>
  <c r="R31" i="18" s="1"/>
  <c r="U31" i="18" s="1"/>
  <c r="P7" i="18" a="1"/>
  <c r="P7" i="18" s="1"/>
  <c r="R7" i="18" s="1"/>
  <c r="U7" i="18" s="1"/>
  <c r="O21" i="18" a="1"/>
  <c r="O21" i="18" s="1"/>
  <c r="O5" i="18" a="1"/>
  <c r="O5" i="18" s="1"/>
  <c r="S27" i="18" a="1"/>
  <c r="S27" i="18" s="1"/>
  <c r="S19" i="18" a="1"/>
  <c r="S19" i="18" s="1"/>
  <c r="S11" i="18" a="1"/>
  <c r="S11" i="18" s="1"/>
  <c r="S3" i="18" a="1"/>
  <c r="S3" i="18" s="1"/>
  <c r="P30" i="18" a="1"/>
  <c r="P30" i="18" s="1"/>
  <c r="R30" i="18" s="1"/>
  <c r="U30" i="18" s="1"/>
  <c r="P22" i="18" a="1"/>
  <c r="P22" i="18" s="1"/>
  <c r="R22" i="18" s="1"/>
  <c r="U22" i="18" s="1"/>
  <c r="P14" i="18" a="1"/>
  <c r="P14" i="18" s="1"/>
  <c r="R14" i="18" s="1"/>
  <c r="U14" i="18" s="1"/>
  <c r="P6" i="18" a="1"/>
  <c r="P6" i="18" s="1"/>
  <c r="R6" i="18" s="1"/>
  <c r="U6" i="18" s="1"/>
  <c r="T28" i="18" a="1"/>
  <c r="T28" i="18" s="1"/>
  <c r="T12" i="18" a="1"/>
  <c r="T12" i="18" s="1"/>
  <c r="S26" i="18" a="1"/>
  <c r="S26" i="18" s="1"/>
  <c r="S10" i="18" a="1"/>
  <c r="S10" i="18" s="1"/>
  <c r="P29" i="18" a="1"/>
  <c r="P29" i="18" s="1"/>
  <c r="R29" i="18" s="1"/>
  <c r="U29" i="18" s="1"/>
  <c r="P5" i="18" a="1"/>
  <c r="P5" i="18" s="1"/>
  <c r="R5" i="18" s="1"/>
  <c r="U5" i="18" s="1"/>
  <c r="T20" i="18" a="1"/>
  <c r="T20" i="18" s="1"/>
  <c r="T4" i="18" a="1"/>
  <c r="T4" i="18" s="1"/>
  <c r="S18" i="18" a="1"/>
  <c r="S18" i="18" s="1"/>
  <c r="S2" i="18" a="1"/>
  <c r="S2" i="18" s="1"/>
  <c r="P21" i="18" a="1"/>
  <c r="P21" i="18" s="1"/>
  <c r="R21" i="18" s="1"/>
  <c r="U21" i="18" s="1"/>
  <c r="P13" i="18" a="1"/>
  <c r="P13" i="18" s="1"/>
  <c r="R13" i="18" s="1"/>
  <c r="U13" i="18" s="1"/>
  <c r="O3" i="18" a="1"/>
  <c r="O3" i="18" s="1"/>
  <c r="S17" i="18" a="1"/>
  <c r="S17" i="18" s="1"/>
  <c r="P20" i="18" a="1"/>
  <c r="P20" i="18" s="1"/>
  <c r="R20" i="18" s="1"/>
  <c r="U20" i="18" s="1"/>
  <c r="P12" i="18" a="1"/>
  <c r="P12" i="18" s="1"/>
  <c r="O18" i="18" a="1"/>
  <c r="O18" i="18" s="1"/>
  <c r="O2" i="18" a="1"/>
  <c r="O2" i="18" s="1"/>
  <c r="T19" i="18" a="1"/>
  <c r="T19" i="18" s="1"/>
  <c r="S9" i="18" a="1"/>
  <c r="S9" i="18" s="1"/>
  <c r="P28" i="18" a="1"/>
  <c r="P28" i="18" s="1"/>
  <c r="R28" i="18" s="1"/>
  <c r="U28" i="18" s="1"/>
  <c r="P4" i="18" a="1"/>
  <c r="P4" i="18" s="1"/>
  <c r="R4" i="18" s="1"/>
  <c r="U4" i="18" s="1"/>
  <c r="O26" i="18" a="1"/>
  <c r="O26" i="18" s="1"/>
  <c r="O10" i="18" a="1"/>
  <c r="O10" i="18" s="1"/>
  <c r="T3" i="18" a="1"/>
  <c r="T3" i="18" s="1"/>
  <c r="S24" i="18" a="1"/>
  <c r="S24" i="18" s="1"/>
  <c r="S8" i="18" a="1"/>
  <c r="S8" i="18" s="1"/>
  <c r="P19" i="18" a="1"/>
  <c r="P19" i="18" s="1"/>
  <c r="R19" i="18" s="1"/>
  <c r="U19" i="18" s="1"/>
  <c r="P3" i="18" a="1"/>
  <c r="P3" i="18" s="1"/>
  <c r="R3" i="18" s="1"/>
  <c r="U3" i="18" s="1"/>
  <c r="O17" i="18" a="1"/>
  <c r="O17" i="18" s="1"/>
  <c r="T10" i="18" a="1"/>
  <c r="T10" i="18" s="1"/>
  <c r="T2" i="18" a="1"/>
  <c r="T2" i="18" s="1"/>
  <c r="S16" i="18" a="1"/>
  <c r="S16" i="18" s="1"/>
  <c r="P27" i="18" a="1"/>
  <c r="P27" i="18" s="1"/>
  <c r="R27" i="18" s="1"/>
  <c r="U27" i="18" s="1"/>
  <c r="P11" i="18" a="1"/>
  <c r="P11" i="18" s="1"/>
  <c r="R11" i="18" s="1"/>
  <c r="U11" i="18" s="1"/>
  <c r="O25" i="18" a="1"/>
  <c r="O25" i="18" s="1"/>
  <c r="O9" i="18" a="1"/>
  <c r="O9" i="18" s="1"/>
  <c r="T18" i="18" a="1"/>
  <c r="T18" i="18" s="1"/>
  <c r="T17" i="18" a="1"/>
  <c r="T17" i="18" s="1"/>
  <c r="S23" i="18" a="1"/>
  <c r="S23" i="18" s="1"/>
  <c r="S15" i="18" a="1"/>
  <c r="S15" i="18" s="1"/>
  <c r="P26" i="18" a="1"/>
  <c r="P26" i="18" s="1"/>
  <c r="R26" i="18" s="1"/>
  <c r="U26" i="18" s="1"/>
  <c r="P10" i="18" a="1"/>
  <c r="P10" i="18" s="1"/>
  <c r="R10" i="18" s="1"/>
  <c r="U10" i="18" s="1"/>
  <c r="O24" i="18" a="1"/>
  <c r="O24" i="18" s="1"/>
  <c r="S25" i="18" a="1"/>
  <c r="S25" i="18" s="1"/>
  <c r="T25" i="18" a="1"/>
  <c r="T25" i="18" s="1"/>
  <c r="T9" i="18" a="1"/>
  <c r="T9" i="18" s="1"/>
  <c r="S31" i="18" a="1"/>
  <c r="S31" i="18" s="1"/>
  <c r="S7" i="18" a="1"/>
  <c r="S7" i="18" s="1"/>
  <c r="P18" i="18" a="1"/>
  <c r="P18" i="18" s="1"/>
  <c r="R18" i="18" s="1"/>
  <c r="U18" i="18" s="1"/>
  <c r="P2" i="18" a="1"/>
  <c r="P2" i="18" s="1"/>
  <c r="R2" i="18" s="1"/>
  <c r="U2" i="18" s="1"/>
  <c r="O16" i="18" a="1"/>
  <c r="O16" i="18" s="1"/>
  <c r="T27" i="18" a="1"/>
  <c r="T27" i="18" s="1"/>
  <c r="T26" i="18" a="1"/>
  <c r="T26" i="18" s="1"/>
  <c r="T16" i="18" a="1"/>
  <c r="T16" i="18" s="1"/>
  <c r="S30" i="18" a="1"/>
  <c r="S30" i="18" s="1"/>
  <c r="S14" i="18" a="1"/>
  <c r="S14" i="18" s="1"/>
  <c r="P25" i="18" a="1"/>
  <c r="P25" i="18" s="1"/>
  <c r="R25" i="18" s="1"/>
  <c r="U25" i="18" s="1"/>
  <c r="P9" i="18" a="1"/>
  <c r="P9" i="18" s="1"/>
  <c r="R9" i="18" s="1"/>
  <c r="U9" i="18" s="1"/>
  <c r="O7" i="18" a="1"/>
  <c r="O7" i="18" s="1"/>
  <c r="T11" i="18" a="1"/>
  <c r="T11" i="18" s="1"/>
  <c r="T24" i="18" a="1"/>
  <c r="T24" i="18" s="1"/>
  <c r="T8" i="18" a="1"/>
  <c r="T8" i="18" s="1"/>
  <c r="S22" i="18" a="1"/>
  <c r="S22" i="18" s="1"/>
  <c r="S6" i="18" a="1"/>
  <c r="S6" i="18" s="1"/>
  <c r="P17" i="18" a="1"/>
  <c r="P17" i="18" s="1"/>
  <c r="R17" i="18" s="1"/>
  <c r="U17" i="18" s="1"/>
  <c r="O15" i="18" a="1"/>
  <c r="O15" i="18" s="1"/>
  <c r="S29" i="18" a="1"/>
  <c r="S29" i="18" s="1"/>
  <c r="S13" i="18" a="1"/>
  <c r="S13" i="18" s="1"/>
  <c r="P24" i="18" a="1"/>
  <c r="P24" i="18" s="1"/>
  <c r="R24" i="18" s="1"/>
  <c r="U24" i="18" s="1"/>
  <c r="P8" i="18" a="1"/>
  <c r="P8" i="18" s="1"/>
  <c r="R8" i="18" s="1"/>
  <c r="U8" i="18" s="1"/>
  <c r="O22" i="18" a="1"/>
  <c r="O22" i="18" s="1"/>
  <c r="O14" i="18" a="1"/>
  <c r="O14" i="18" s="1"/>
  <c r="T7" i="18" a="1"/>
  <c r="T7" i="18" s="1"/>
  <c r="S21" i="18" a="1"/>
  <c r="S21" i="18" s="1"/>
  <c r="S5" i="18" a="1"/>
  <c r="S5" i="18" s="1"/>
  <c r="P16" i="18" a="1"/>
  <c r="P16" i="18" s="1"/>
  <c r="R16" i="18" s="1"/>
  <c r="U16" i="18" s="1"/>
  <c r="O30" i="18" a="1"/>
  <c r="O30" i="18" s="1"/>
  <c r="O6" i="18" a="1"/>
  <c r="O6" i="18" s="1"/>
  <c r="T22" i="18" a="1"/>
  <c r="T22" i="18" s="1"/>
  <c r="S28" i="18" a="1"/>
  <c r="S28" i="18" s="1"/>
  <c r="S12" i="18" a="1"/>
  <c r="S12" i="18" s="1"/>
  <c r="P23" i="18" a="1"/>
  <c r="P23" i="18" s="1"/>
  <c r="R23" i="18" s="1"/>
  <c r="U23" i="18" s="1"/>
  <c r="P15" i="18" a="1"/>
  <c r="P15" i="18" s="1"/>
  <c r="R15" i="18" s="1"/>
  <c r="U15" i="18" s="1"/>
  <c r="O29" i="18" a="1"/>
  <c r="O29" i="18" s="1"/>
  <c r="O37" i="17" a="1"/>
  <c r="O37" i="17" s="1"/>
  <c r="O9" i="17" a="1"/>
  <c r="O9" i="17" s="1"/>
  <c r="T15" i="17" a="1"/>
  <c r="T15" i="17" s="1"/>
  <c r="O36" i="17" a="1"/>
  <c r="O36" i="17" s="1"/>
  <c r="S29" i="17" a="1"/>
  <c r="S29" i="17" s="1"/>
  <c r="S16" i="17" a="1"/>
  <c r="S16" i="17" s="1"/>
  <c r="R29" i="17" a="1"/>
  <c r="R29" i="17" s="1"/>
  <c r="R15" i="17" a="1"/>
  <c r="R15" i="17" s="1"/>
  <c r="V39" i="17" a="1"/>
  <c r="V39" i="17" s="1"/>
  <c r="V40" i="17" a="1"/>
  <c r="V40" i="17" s="1"/>
  <c r="N11" i="17" a="1"/>
  <c r="N11" i="17" s="1"/>
  <c r="R31" i="17" a="1"/>
  <c r="R31" i="17" s="1"/>
  <c r="S31" i="17" a="1"/>
  <c r="S31" i="17" s="1"/>
  <c r="T31" i="17" a="1"/>
  <c r="T31" i="17" s="1"/>
  <c r="U31" i="17" a="1"/>
  <c r="U31" i="17" s="1"/>
  <c r="V31" i="17" a="1"/>
  <c r="V31" i="17" s="1"/>
  <c r="O11" i="17" a="1"/>
  <c r="O11" i="17" s="1"/>
  <c r="S17" i="17" a="1"/>
  <c r="S17" i="17" s="1"/>
  <c r="R33" i="17" a="1"/>
  <c r="R33" i="17" s="1"/>
  <c r="R16" i="17" a="1"/>
  <c r="R16" i="17" s="1"/>
  <c r="O24" i="17" a="1"/>
  <c r="O24" i="17" s="1"/>
  <c r="N37" i="17" a="1"/>
  <c r="N37" i="17" s="1"/>
  <c r="N9" i="17" a="1"/>
  <c r="N9" i="17" s="1"/>
  <c r="N35" i="17" a="1"/>
  <c r="N35" i="17" s="1"/>
  <c r="O35" i="17" a="1"/>
  <c r="O35" i="17" s="1"/>
  <c r="X35" i="17" a="1"/>
  <c r="X35" i="17" s="1"/>
  <c r="Y35" i="17" s="1"/>
  <c r="Q35" i="17" s="1"/>
  <c r="W35" i="17" s="1"/>
  <c r="X23" i="17" a="1"/>
  <c r="X23" i="17" s="1"/>
  <c r="Y23" i="17" s="1"/>
  <c r="N23" i="17" a="1"/>
  <c r="N23" i="17" s="1"/>
  <c r="O23" i="17" a="1"/>
  <c r="O23" i="17" s="1"/>
  <c r="X31" i="17" a="1"/>
  <c r="X31" i="17" s="1"/>
  <c r="Y31" i="17" s="1"/>
  <c r="X19" i="17" a="1"/>
  <c r="X19" i="17" s="1"/>
  <c r="Y19" i="17" s="1"/>
  <c r="V41" i="17" a="1"/>
  <c r="V41" i="17" s="1"/>
  <c r="V29" i="17" a="1"/>
  <c r="V29" i="17" s="1"/>
  <c r="V17" i="17" a="1"/>
  <c r="V17" i="17" s="1"/>
  <c r="U35" i="17" a="1"/>
  <c r="U35" i="17" s="1"/>
  <c r="U23" i="17" a="1"/>
  <c r="U23" i="17" s="1"/>
  <c r="T41" i="17" a="1"/>
  <c r="T41" i="17" s="1"/>
  <c r="T28" i="17" a="1"/>
  <c r="T28" i="17" s="1"/>
  <c r="X34" i="17" a="1"/>
  <c r="X34" i="17" s="1"/>
  <c r="Y34" i="17" s="1"/>
  <c r="O34" i="17" a="1"/>
  <c r="O34" i="17" s="1"/>
  <c r="N34" i="17" a="1"/>
  <c r="N34" i="17" s="1"/>
  <c r="N22" i="17" a="1"/>
  <c r="N22" i="17" s="1"/>
  <c r="X22" i="17" a="1"/>
  <c r="X22" i="17" s="1"/>
  <c r="Y22" i="17" s="1"/>
  <c r="O22" i="17" a="1"/>
  <c r="O22" i="17" s="1"/>
  <c r="N19" i="17" a="1"/>
  <c r="N19" i="17" s="1"/>
  <c r="U34" i="17" a="1"/>
  <c r="U34" i="17" s="1"/>
  <c r="S15" i="17" a="1"/>
  <c r="S15" i="17" s="1"/>
  <c r="T39" i="17" a="1"/>
  <c r="T39" i="17" s="1"/>
  <c r="S30" i="17" a="1"/>
  <c r="S30" i="17" s="1"/>
  <c r="U30" i="17" a="1"/>
  <c r="U30" i="17" s="1"/>
  <c r="R30" i="17" a="1"/>
  <c r="R30" i="17" s="1"/>
  <c r="T30" i="17" a="1"/>
  <c r="T30" i="17" s="1"/>
  <c r="V30" i="17" a="1"/>
  <c r="V30" i="17" s="1"/>
  <c r="T6" i="17" a="1"/>
  <c r="T6" i="17" s="1"/>
  <c r="V18" i="17" a="1"/>
  <c r="V18" i="17" s="1"/>
  <c r="R18" i="17" a="1"/>
  <c r="R18" i="17" s="1"/>
  <c r="T18" i="17" a="1"/>
  <c r="T18" i="17" s="1"/>
  <c r="S18" i="17" a="1"/>
  <c r="S18" i="17" s="1"/>
  <c r="U18" i="17" a="1"/>
  <c r="U18" i="17" s="1"/>
  <c r="S10" i="17" a="1"/>
  <c r="S10" i="17" s="1"/>
  <c r="V4" i="17" a="1"/>
  <c r="V4" i="17" s="1"/>
  <c r="U3" i="17" a="1"/>
  <c r="U3" i="17" s="1"/>
  <c r="T35" i="17" a="1"/>
  <c r="T35" i="17" s="1"/>
  <c r="T22" i="17" a="1"/>
  <c r="T22" i="17" s="1"/>
  <c r="S39" i="17" a="1"/>
  <c r="S39" i="17" s="1"/>
  <c r="R40" i="17" a="1"/>
  <c r="R40" i="17" s="1"/>
  <c r="R23" i="17" a="1"/>
  <c r="R23" i="17" s="1"/>
  <c r="O31" i="17" a="1"/>
  <c r="O31" i="17" s="1"/>
  <c r="O8" i="17" a="1"/>
  <c r="O8" i="17" s="1"/>
  <c r="N30" i="17" a="1"/>
  <c r="N30" i="17" s="1"/>
  <c r="N13" i="17" a="1"/>
  <c r="N13" i="17" s="1"/>
  <c r="N17" i="17" a="1"/>
  <c r="N17" i="17" s="1"/>
  <c r="X30" i="17" a="1"/>
  <c r="X30" i="17" s="1"/>
  <c r="Y30" i="17" s="1"/>
  <c r="T40" i="17" a="1"/>
  <c r="T40" i="17" s="1"/>
  <c r="V27" i="17" a="1"/>
  <c r="V27" i="17" s="1"/>
  <c r="S27" i="17" a="1"/>
  <c r="S27" i="17" s="1"/>
  <c r="X38" i="17" a="1"/>
  <c r="X38" i="17" s="1"/>
  <c r="Y38" i="17" s="1"/>
  <c r="X37" i="17" a="1"/>
  <c r="X37" i="17" s="1"/>
  <c r="Y37" i="17" s="1"/>
  <c r="Q37" i="17" s="1"/>
  <c r="W37" i="17" s="1"/>
  <c r="X25" i="17" a="1"/>
  <c r="X25" i="17" s="1"/>
  <c r="Y25" i="17" s="1"/>
  <c r="X13" i="17" a="1"/>
  <c r="X13" i="17" s="1"/>
  <c r="Y13" i="17" s="1"/>
  <c r="V35" i="17" a="1"/>
  <c r="V35" i="17" s="1"/>
  <c r="V23" i="17" a="1"/>
  <c r="V23" i="17" s="1"/>
  <c r="U41" i="17" a="1"/>
  <c r="U41" i="17" s="1"/>
  <c r="U29" i="17" a="1"/>
  <c r="U29" i="17" s="1"/>
  <c r="U17" i="17" a="1"/>
  <c r="U17" i="17" s="1"/>
  <c r="S23" i="17" a="1"/>
  <c r="S23" i="17" s="1"/>
  <c r="V16" i="17" a="1"/>
  <c r="V16" i="17" s="1"/>
  <c r="N20" i="17" a="1"/>
  <c r="N20" i="17" s="1"/>
  <c r="O20" i="17" a="1"/>
  <c r="O20" i="17" s="1"/>
  <c r="V20" i="17" a="1"/>
  <c r="V20" i="17" s="1"/>
  <c r="T20" i="17" a="1"/>
  <c r="T20" i="17" s="1"/>
  <c r="U20" i="17" a="1"/>
  <c r="U20" i="17" s="1"/>
  <c r="R20" i="17" a="1"/>
  <c r="R20" i="17" s="1"/>
  <c r="S20" i="17" a="1"/>
  <c r="S20" i="17" s="1"/>
  <c r="X10" i="17" a="1"/>
  <c r="X10" i="17" s="1"/>
  <c r="Y10" i="17" s="1"/>
  <c r="N8" i="17" a="1"/>
  <c r="N8" i="17" s="1"/>
  <c r="V2" i="17" a="1"/>
  <c r="V2" i="17" s="1"/>
  <c r="O13" i="17" a="1"/>
  <c r="O13" i="17" s="1"/>
  <c r="N10" i="17" a="1"/>
  <c r="N10" i="17" s="1"/>
  <c r="N12" i="17" a="1"/>
  <c r="N12" i="17" s="1"/>
  <c r="N39" i="17" a="1"/>
  <c r="N39" i="17" s="1"/>
  <c r="N27" i="17" a="1"/>
  <c r="N27" i="17" s="1"/>
  <c r="N38" i="17" a="1"/>
  <c r="N38" i="17" s="1"/>
  <c r="N33" i="17" a="1"/>
  <c r="N33" i="17" s="1"/>
  <c r="O33" i="17" a="1"/>
  <c r="O33" i="17" s="1"/>
  <c r="X33" i="17" a="1"/>
  <c r="X33" i="17" s="1"/>
  <c r="Y33" i="17" s="1"/>
  <c r="Q33" i="17" s="1"/>
  <c r="W33" i="17" s="1"/>
  <c r="S41" i="17" a="1"/>
  <c r="S41" i="17" s="1"/>
  <c r="O38" i="17" a="1"/>
  <c r="O38" i="17" s="1"/>
  <c r="R39" i="17" a="1"/>
  <c r="R39" i="17" s="1"/>
  <c r="O30" i="17" a="1"/>
  <c r="O30" i="17" s="1"/>
  <c r="V34" i="17" a="1"/>
  <c r="V34" i="17" s="1"/>
  <c r="V22" i="17" a="1"/>
  <c r="V22" i="17" s="1"/>
  <c r="U40" i="17" a="1"/>
  <c r="U40" i="17" s="1"/>
  <c r="U28" i="17" a="1"/>
  <c r="U28" i="17" s="1"/>
  <c r="U16" i="17" a="1"/>
  <c r="U16" i="17" s="1"/>
  <c r="S35" i="17" a="1"/>
  <c r="S35" i="17" s="1"/>
  <c r="S22" i="17" a="1"/>
  <c r="S22" i="17" s="1"/>
  <c r="V28" i="17" a="1"/>
  <c r="V28" i="17" s="1"/>
  <c r="N18" i="17" a="1"/>
  <c r="N18" i="17" s="1"/>
  <c r="R19" i="17" a="1"/>
  <c r="R19" i="17" s="1"/>
  <c r="S19" i="17" a="1"/>
  <c r="S19" i="17" s="1"/>
  <c r="T19" i="17" a="1"/>
  <c r="T19" i="17" s="1"/>
  <c r="U19" i="17" a="1"/>
  <c r="U19" i="17" s="1"/>
  <c r="V19" i="17" a="1"/>
  <c r="V19" i="17" s="1"/>
  <c r="R27" i="17" a="1"/>
  <c r="R27" i="17" s="1"/>
  <c r="V6" i="17" a="1"/>
  <c r="V6" i="17" s="1"/>
  <c r="X36" i="17" a="1"/>
  <c r="X36" i="17" s="1"/>
  <c r="Y36" i="17" s="1"/>
  <c r="Q36" i="17" s="1"/>
  <c r="W36" i="17" s="1"/>
  <c r="R35" i="17" a="1"/>
  <c r="R35" i="17" s="1"/>
  <c r="R21" i="17" a="1"/>
  <c r="R21" i="17" s="1"/>
  <c r="O10" i="17" a="1"/>
  <c r="O10" i="17" s="1"/>
  <c r="O12" i="17" a="1"/>
  <c r="O12" i="17" s="1"/>
  <c r="N25" i="17" a="1"/>
  <c r="N25" i="17" s="1"/>
  <c r="N7" i="17" a="1"/>
  <c r="N7" i="17" s="1"/>
  <c r="X18" i="17" a="1"/>
  <c r="X18" i="17" s="1"/>
  <c r="S28" i="17" a="1"/>
  <c r="S28" i="17" s="1"/>
  <c r="S40" i="17" a="1"/>
  <c r="S40" i="17" s="1"/>
  <c r="U5" i="17" a="1"/>
  <c r="U5" i="17" s="1"/>
  <c r="X11" i="17" a="1"/>
  <c r="X11" i="17" s="1"/>
  <c r="Y11" i="17" s="1"/>
  <c r="Q11" i="17" s="1"/>
  <c r="W11" i="17" s="1"/>
  <c r="U39" i="17" a="1"/>
  <c r="U39" i="17" s="1"/>
  <c r="U27" i="17" a="1"/>
  <c r="U27" i="17" s="1"/>
  <c r="U15" i="17" a="1"/>
  <c r="U15" i="17" s="1"/>
  <c r="T17" i="17" a="1"/>
  <c r="T17" i="17" s="1"/>
  <c r="S34" i="17" a="1"/>
  <c r="S34" i="17" s="1"/>
  <c r="S21" i="17" a="1"/>
  <c r="S21" i="17" s="1"/>
  <c r="N36" i="17" a="1"/>
  <c r="N36" i="17" s="1"/>
  <c r="U22" i="17" a="1"/>
  <c r="U22" i="17" s="1"/>
  <c r="N32" i="17" a="1"/>
  <c r="N32" i="17" s="1"/>
  <c r="O32" i="17" a="1"/>
  <c r="O32" i="17" s="1"/>
  <c r="T32" i="17" a="1"/>
  <c r="T32" i="17" s="1"/>
  <c r="V32" i="17" a="1"/>
  <c r="V32" i="17" s="1"/>
  <c r="U32" i="17" a="1"/>
  <c r="U32" i="17" s="1"/>
  <c r="R32" i="17" a="1"/>
  <c r="R32" i="17" s="1"/>
  <c r="S32" i="17" a="1"/>
  <c r="S32" i="17" s="1"/>
  <c r="O19" i="17" a="1"/>
  <c r="O19" i="17" s="1"/>
  <c r="V15" i="17" a="1"/>
  <c r="V15" i="17" s="1"/>
  <c r="R41" i="17" a="1"/>
  <c r="R41" i="17" s="1"/>
  <c r="N31" i="17" a="1"/>
  <c r="N31" i="17" s="1"/>
  <c r="X14" i="17" a="1"/>
  <c r="X14" i="17" s="1"/>
  <c r="Y14" i="17" s="1"/>
  <c r="Q14" i="17" s="1"/>
  <c r="W14" i="17" s="1"/>
  <c r="R22" i="17" a="1"/>
  <c r="R22" i="17" s="1"/>
  <c r="X24" i="17" a="1"/>
  <c r="X24" i="17" s="1"/>
  <c r="Y24" i="17" s="1"/>
  <c r="Q24" i="17" s="1"/>
  <c r="W24" i="17" s="1"/>
  <c r="X9" i="17" a="1"/>
  <c r="X9" i="17" s="1"/>
  <c r="Y9" i="17" s="1"/>
  <c r="Q9" i="17" s="1"/>
  <c r="W9" i="17" s="1"/>
  <c r="X7" i="17" a="1"/>
  <c r="X7" i="17" s="1"/>
  <c r="Y7" i="17" s="1"/>
  <c r="Q7" i="17" s="1"/>
  <c r="W7" i="17" s="1"/>
  <c r="V33" i="17" a="1"/>
  <c r="V33" i="17" s="1"/>
  <c r="R34" i="17" a="1"/>
  <c r="R34" i="17" s="1"/>
  <c r="R17" i="17" a="1"/>
  <c r="R17" i="17" s="1"/>
  <c r="O25" i="17" a="1"/>
  <c r="O25" i="17" s="1"/>
  <c r="O7" i="17" a="1"/>
  <c r="O7" i="17" s="1"/>
  <c r="N24" i="17" a="1"/>
  <c r="N24" i="17" s="1"/>
  <c r="N14" i="17" a="1"/>
  <c r="N14" i="17" s="1"/>
  <c r="X21" i="17" a="1"/>
  <c r="X21" i="17" s="1"/>
  <c r="Y21" i="17" s="1"/>
  <c r="N21" i="17" a="1"/>
  <c r="N21" i="17" s="1"/>
  <c r="O21" i="17" a="1"/>
  <c r="O21" i="17" s="1"/>
  <c r="T27" i="17" a="1"/>
  <c r="T27" i="17" s="1"/>
  <c r="Y18" i="17"/>
  <c r="R28" i="17" a="1"/>
  <c r="R28" i="17" s="1"/>
  <c r="X8" i="17" a="1"/>
  <c r="X8" i="17" s="1"/>
  <c r="Y8" i="17" s="1"/>
  <c r="Q8" i="17" s="1"/>
  <c r="W8" i="17" s="1"/>
  <c r="U21" i="17" a="1"/>
  <c r="U21" i="17" s="1"/>
  <c r="T23" i="17" a="1"/>
  <c r="T23" i="17" s="1"/>
  <c r="O18" i="17" a="1"/>
  <c r="O18" i="17" s="1"/>
  <c r="X26" i="17" a="1"/>
  <c r="X26" i="17" s="1"/>
  <c r="Y26" i="17" s="1"/>
  <c r="T34" i="17" a="1"/>
  <c r="T34" i="17" s="1"/>
  <c r="T21" i="17" a="1"/>
  <c r="T21" i="17" s="1"/>
  <c r="X12" i="17" a="1"/>
  <c r="X12" i="17" s="1"/>
  <c r="Y12" i="17" s="1"/>
  <c r="Q12" i="17" s="1"/>
  <c r="W12" i="17" s="1"/>
  <c r="T33" i="17" a="1"/>
  <c r="T33" i="17" s="1"/>
  <c r="X32" i="17" a="1"/>
  <c r="X32" i="17" s="1"/>
  <c r="Y32" i="17" s="1"/>
  <c r="X20" i="17" a="1"/>
  <c r="X20" i="17" s="1"/>
  <c r="Y20" i="17" s="1"/>
  <c r="Q20" i="17" s="1"/>
  <c r="W20" i="17" s="1"/>
  <c r="V5" i="17" a="1"/>
  <c r="V5" i="17" s="1"/>
  <c r="V3" i="17" a="1"/>
  <c r="V3" i="17" s="1"/>
  <c r="U6" i="17" a="1"/>
  <c r="U6" i="17" s="1"/>
  <c r="U4" i="17" a="1"/>
  <c r="U4" i="17" s="1"/>
  <c r="U2" i="17" a="1"/>
  <c r="U2" i="17" s="1"/>
  <c r="T29" i="17" a="1"/>
  <c r="T29" i="17" s="1"/>
  <c r="T16" i="17" a="1"/>
  <c r="T16" i="17" s="1"/>
  <c r="S33" i="17" a="1"/>
  <c r="S33" i="17" s="1"/>
  <c r="X2" i="17" a="1"/>
  <c r="X2" i="17" s="1"/>
  <c r="Y2" i="17" s="1"/>
  <c r="Q2" i="17" s="1"/>
  <c r="W2" i="17" s="1"/>
  <c r="V14" i="17" a="1"/>
  <c r="V14" i="17" s="1"/>
  <c r="S38" i="17" a="1"/>
  <c r="S38" i="17" s="1"/>
  <c r="S26" i="17" a="1"/>
  <c r="S26" i="17" s="1"/>
  <c r="S14" i="17" a="1"/>
  <c r="S14" i="17" s="1"/>
  <c r="R38" i="17" a="1"/>
  <c r="R38" i="17" s="1"/>
  <c r="R26" i="17" a="1"/>
  <c r="R26" i="17" s="1"/>
  <c r="R14" i="17" a="1"/>
  <c r="R14" i="17" s="1"/>
  <c r="O6" i="17" a="1"/>
  <c r="O6" i="17" s="1"/>
  <c r="O5" i="17" a="1"/>
  <c r="O5" i="17" s="1"/>
  <c r="O4" i="17" a="1"/>
  <c r="O4" i="17" s="1"/>
  <c r="O3" i="17" a="1"/>
  <c r="O3" i="17" s="1"/>
  <c r="O2" i="17" a="1"/>
  <c r="O2" i="17" s="1"/>
  <c r="N6" i="17" a="1"/>
  <c r="N6" i="17" s="1"/>
  <c r="N5" i="17" a="1"/>
  <c r="N5" i="17" s="1"/>
  <c r="N4" i="17" a="1"/>
  <c r="N4" i="17" s="1"/>
  <c r="N3" i="17" a="1"/>
  <c r="N3" i="17" s="1"/>
  <c r="N2" i="17" a="1"/>
  <c r="N2" i="17" s="1"/>
  <c r="V38" i="17" a="1"/>
  <c r="V38" i="17" s="1"/>
  <c r="U38" i="17" a="1"/>
  <c r="U38" i="17" s="1"/>
  <c r="X41" i="17" a="1"/>
  <c r="X41" i="17" s="1"/>
  <c r="Y41" i="17" s="1"/>
  <c r="X17" i="17" a="1"/>
  <c r="X17" i="17" s="1"/>
  <c r="Y17" i="17" s="1"/>
  <c r="V37" i="17" a="1"/>
  <c r="V37" i="17" s="1"/>
  <c r="V13" i="17" a="1"/>
  <c r="V13" i="17" s="1"/>
  <c r="U37" i="17" a="1"/>
  <c r="U37" i="17" s="1"/>
  <c r="U13" i="17" a="1"/>
  <c r="U13" i="17" s="1"/>
  <c r="T37" i="17" a="1"/>
  <c r="T37" i="17" s="1"/>
  <c r="T13" i="17" a="1"/>
  <c r="T13" i="17" s="1"/>
  <c r="S37" i="17" a="1"/>
  <c r="S37" i="17" s="1"/>
  <c r="S13" i="17" a="1"/>
  <c r="S13" i="17" s="1"/>
  <c r="R37" i="17" a="1"/>
  <c r="R37" i="17" s="1"/>
  <c r="R13" i="17" a="1"/>
  <c r="R13" i="17" s="1"/>
  <c r="O41" i="17" a="1"/>
  <c r="O41" i="17" s="1"/>
  <c r="O29" i="17" a="1"/>
  <c r="O29" i="17" s="1"/>
  <c r="O17" i="17" a="1"/>
  <c r="O17" i="17" s="1"/>
  <c r="N41" i="17" a="1"/>
  <c r="N41" i="17" s="1"/>
  <c r="N29" i="17" a="1"/>
  <c r="N29" i="17" s="1"/>
  <c r="U26" i="17" a="1"/>
  <c r="U26" i="17" s="1"/>
  <c r="X29" i="17" a="1"/>
  <c r="X29" i="17" s="1"/>
  <c r="Y29" i="17" s="1"/>
  <c r="V25" i="17" a="1"/>
  <c r="V25" i="17" s="1"/>
  <c r="U25" i="17" a="1"/>
  <c r="U25" i="17" s="1"/>
  <c r="T25" i="17" a="1"/>
  <c r="T25" i="17" s="1"/>
  <c r="S25" i="17" a="1"/>
  <c r="S25" i="17" s="1"/>
  <c r="R25" i="17" a="1"/>
  <c r="R25" i="17" s="1"/>
  <c r="X4" i="17" a="1"/>
  <c r="X4" i="17" s="1"/>
  <c r="Y4" i="17" s="1"/>
  <c r="T26" i="17" a="1"/>
  <c r="T26" i="17" s="1"/>
  <c r="X16" i="17" a="1"/>
  <c r="X16" i="17" s="1"/>
  <c r="Y16" i="17" s="1"/>
  <c r="U24" i="17" a="1"/>
  <c r="U24" i="17" s="1"/>
  <c r="T36" i="17" a="1"/>
  <c r="T36" i="17" s="1"/>
  <c r="T12" i="17" a="1"/>
  <c r="T12" i="17" s="1"/>
  <c r="S24" i="17" a="1"/>
  <c r="S24" i="17" s="1"/>
  <c r="R36" i="17" a="1"/>
  <c r="R36" i="17" s="1"/>
  <c r="R12" i="17" a="1"/>
  <c r="R12" i="17" s="1"/>
  <c r="O28" i="17" a="1"/>
  <c r="O28" i="17" s="1"/>
  <c r="N40" i="17" a="1"/>
  <c r="N40" i="17" s="1"/>
  <c r="N16" i="17" a="1"/>
  <c r="N16" i="17" s="1"/>
  <c r="X3" i="17" a="1"/>
  <c r="X3" i="17" s="1"/>
  <c r="Y3" i="17" s="1"/>
  <c r="Q3" i="17" s="1"/>
  <c r="W3" i="17" s="1"/>
  <c r="U14" i="17" a="1"/>
  <c r="U14" i="17" s="1"/>
  <c r="X28" i="17" a="1"/>
  <c r="X28" i="17" s="1"/>
  <c r="Y28" i="17" s="1"/>
  <c r="U36" i="17" a="1"/>
  <c r="U36" i="17" s="1"/>
  <c r="U12" i="17" a="1"/>
  <c r="U12" i="17" s="1"/>
  <c r="T24" i="17" a="1"/>
  <c r="T24" i="17" s="1"/>
  <c r="S36" i="17" a="1"/>
  <c r="S36" i="17" s="1"/>
  <c r="S12" i="17" a="1"/>
  <c r="S12" i="17" s="1"/>
  <c r="R24" i="17" a="1"/>
  <c r="R24" i="17" s="1"/>
  <c r="O40" i="17" a="1"/>
  <c r="O40" i="17" s="1"/>
  <c r="O16" i="17" a="1"/>
  <c r="O16" i="17" s="1"/>
  <c r="N28" i="17" a="1"/>
  <c r="N28" i="17" s="1"/>
  <c r="X5" i="17" a="1"/>
  <c r="X5" i="17" s="1"/>
  <c r="Y5" i="17" s="1"/>
  <c r="T38" i="17" a="1"/>
  <c r="T38" i="17" s="1"/>
  <c r="V36" i="17" a="1"/>
  <c r="V36" i="17" s="1"/>
  <c r="X39" i="17" a="1"/>
  <c r="X39" i="17" s="1"/>
  <c r="Y39" i="17" s="1"/>
  <c r="V11" i="17" a="1"/>
  <c r="V11" i="17" s="1"/>
  <c r="V10" i="17" a="1"/>
  <c r="V10" i="17" s="1"/>
  <c r="U11" i="17" a="1"/>
  <c r="U11" i="17" s="1"/>
  <c r="U10" i="17" a="1"/>
  <c r="U10" i="17" s="1"/>
  <c r="U7" i="17" a="1"/>
  <c r="U7" i="17" s="1"/>
  <c r="T7" i="17" a="1"/>
  <c r="T7" i="17" s="1"/>
  <c r="S9" i="17" a="1"/>
  <c r="S9" i="17" s="1"/>
  <c r="S8" i="17" a="1"/>
  <c r="S8" i="17" s="1"/>
  <c r="S7" i="17" a="1"/>
  <c r="S7" i="17" s="1"/>
  <c r="R10" i="17" a="1"/>
  <c r="R10" i="17" s="1"/>
  <c r="R7" i="17" a="1"/>
  <c r="R7" i="17" s="1"/>
  <c r="O39" i="17" a="1"/>
  <c r="O39" i="17" s="1"/>
  <c r="O27" i="17" a="1"/>
  <c r="O27" i="17" s="1"/>
  <c r="O15" i="17" a="1"/>
  <c r="O15" i="17" s="1"/>
  <c r="N15" i="17" a="1"/>
  <c r="N15" i="17" s="1"/>
  <c r="X6" i="17" a="1"/>
  <c r="X6" i="17" s="1"/>
  <c r="Y6" i="17" s="1"/>
  <c r="V26" i="17" a="1"/>
  <c r="V26" i="17" s="1"/>
  <c r="T14" i="17" a="1"/>
  <c r="T14" i="17" s="1"/>
  <c r="X40" i="17" a="1"/>
  <c r="X40" i="17" s="1"/>
  <c r="Y40" i="17" s="1"/>
  <c r="V24" i="17" a="1"/>
  <c r="V24" i="17" s="1"/>
  <c r="V12" i="17" a="1"/>
  <c r="V12" i="17" s="1"/>
  <c r="X27" i="17" a="1"/>
  <c r="X27" i="17" s="1"/>
  <c r="Y27" i="17" s="1"/>
  <c r="X15" i="17" a="1"/>
  <c r="X15" i="17" s="1"/>
  <c r="Y15" i="17" s="1"/>
  <c r="V9" i="17" a="1"/>
  <c r="V9" i="17" s="1"/>
  <c r="V8" i="17" a="1"/>
  <c r="V8" i="17" s="1"/>
  <c r="V7" i="17" a="1"/>
  <c r="V7" i="17" s="1"/>
  <c r="U9" i="17" a="1"/>
  <c r="U9" i="17" s="1"/>
  <c r="U8" i="17" a="1"/>
  <c r="U8" i="17" s="1"/>
  <c r="T11" i="17" a="1"/>
  <c r="T11" i="17" s="1"/>
  <c r="T10" i="17" a="1"/>
  <c r="T10" i="17" s="1"/>
  <c r="T9" i="17" a="1"/>
  <c r="T9" i="17" s="1"/>
  <c r="T8" i="17" a="1"/>
  <c r="T8" i="17" s="1"/>
  <c r="S11" i="17" a="1"/>
  <c r="S11" i="17" s="1"/>
  <c r="R11" i="17" a="1"/>
  <c r="R11" i="17" s="1"/>
  <c r="R9" i="17" a="1"/>
  <c r="R9" i="17" s="1"/>
  <c r="R8" i="17" a="1"/>
  <c r="R8" i="17" s="1"/>
  <c r="T5" i="17" a="1"/>
  <c r="T5" i="17" s="1"/>
  <c r="T4" i="17" a="1"/>
  <c r="T4" i="17" s="1"/>
  <c r="T3" i="17" a="1"/>
  <c r="T3" i="17" s="1"/>
  <c r="T2" i="17" a="1"/>
  <c r="T2" i="17" s="1"/>
  <c r="S6" i="17" a="1"/>
  <c r="S6" i="17" s="1"/>
  <c r="S5" i="17" a="1"/>
  <c r="S5" i="17" s="1"/>
  <c r="S4" i="17" a="1"/>
  <c r="S4" i="17" s="1"/>
  <c r="S3" i="17" a="1"/>
  <c r="S3" i="17" s="1"/>
  <c r="S2" i="17" a="1"/>
  <c r="S2" i="17" s="1"/>
  <c r="R6" i="17" a="1"/>
  <c r="R6" i="17" s="1"/>
  <c r="R5" i="17" a="1"/>
  <c r="R5" i="17" s="1"/>
  <c r="R4" i="17" a="1"/>
  <c r="R4" i="17" s="1"/>
  <c r="R3" i="17" a="1"/>
  <c r="R3" i="17" s="1"/>
  <c r="R2" i="17" a="1"/>
  <c r="R2" i="17" s="1"/>
  <c r="O26" i="17" a="1"/>
  <c r="O26" i="17" s="1"/>
  <c r="O14" i="17" a="1"/>
  <c r="O14" i="17" s="1"/>
  <c r="N26" i="17" a="1"/>
  <c r="N26" i="17" s="1"/>
  <c r="Q18" i="17" l="1"/>
  <c r="W18" i="17" s="1"/>
  <c r="Q10" i="17"/>
  <c r="W10" i="17" s="1"/>
  <c r="Q25" i="17"/>
  <c r="W25" i="17" s="1"/>
  <c r="Q19" i="17"/>
  <c r="W19" i="17" s="1"/>
  <c r="Q5" i="17"/>
  <c r="W5" i="17" s="1"/>
  <c r="Q6" i="17"/>
  <c r="W6" i="17" s="1"/>
  <c r="Q28" i="17"/>
  <c r="W28" i="17" s="1"/>
  <c r="Q23" i="17"/>
  <c r="W23" i="17" s="1"/>
  <c r="Q22" i="17"/>
  <c r="W22" i="17" s="1"/>
  <c r="Q30" i="17"/>
  <c r="W30" i="17" s="1"/>
  <c r="Q21" i="17"/>
  <c r="W21" i="17" s="1"/>
  <c r="Q26" i="17"/>
  <c r="W26" i="17" s="1"/>
  <c r="Q15" i="17"/>
  <c r="W15" i="17" s="1"/>
  <c r="Q4" i="17"/>
  <c r="W4" i="17" s="1"/>
  <c r="Q41" i="17"/>
  <c r="W41" i="17" s="1"/>
  <c r="Q38" i="17"/>
  <c r="W38" i="17" s="1"/>
  <c r="Q27" i="17"/>
  <c r="W27" i="17" s="1"/>
  <c r="Q40" i="17"/>
  <c r="W40" i="17" s="1"/>
  <c r="Q13" i="17"/>
  <c r="W13" i="17" s="1"/>
  <c r="Q39" i="17"/>
  <c r="W39" i="17" s="1"/>
  <c r="Q29" i="17"/>
  <c r="W29" i="17" s="1"/>
  <c r="Q31" i="17"/>
  <c r="W31" i="17" s="1"/>
  <c r="Q16" i="17"/>
  <c r="W16" i="17" s="1"/>
  <c r="Q34" i="17"/>
  <c r="W34" i="17" s="1"/>
  <c r="Q17" i="17"/>
  <c r="W17" i="17" s="1"/>
  <c r="Q32" i="17"/>
  <c r="W3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2\mm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<sst xmlns="http://schemas.openxmlformats.org/spreadsheetml/2006/main" count="693" uniqueCount="100">
  <si>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</si>
  <si>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</si>
  <si>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</si>
  <si>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</si>
  <si>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</si>
  <si>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</si>
  <si>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</si>
  <si>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</si>
  <si>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</si>
  <si>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</si>
  <si>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</si>
  <si>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</si>
  <si>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</si>
  <si>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</si>
  <si>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</si>
  <si>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</si>
  <si>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</si>
  <si>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</si>
  <si>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</si>
  <si>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</si>
  <si>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</si>
  <si>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</si>
  <si>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</si>
  <si>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</si>
  <si>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</si>
  <si>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</si>
  <si>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</si>
  <si>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</si>
  <si>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</si>
  <si>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</si>
  <si>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</si>
  <si>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</si>
  <si>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</si>
  <si>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</si>
  <si>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</si>
  <si>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</si>
  <si>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</si>
  <si>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</si>
  <si>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</si>
  <si>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</si>
  <si>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</si>
  <si>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</si>
  <si>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</si>
  <si>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</si>
  <si>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</si>
  <si>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</si>
  <si>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</si>
  <si>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</si>
  <si>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</si>
  <si>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</si>
  <si>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</si>
  <si>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</si>
  <si>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</si>
  <si>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</si>
  <si>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</si>
  <si>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</si>
  <si>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</si>
  <si>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</si>
  <si>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</si>
  <si>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</si>
  <si>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</si>
  <si>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</si>
  <si>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</si>
  <si>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</si>
  <si>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</si>
  <si>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</si>
  <si>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</si>
  <si>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</si>
  <si>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E:\programming\Data-Science\model\production\Arena\Ex2\MM1.p</t>
  </si>
  <si>
    <t>2025-04-26 17:00:28</t>
  </si>
  <si>
    <t>M1.Queue</t>
  </si>
  <si>
    <t>Waiting Time</t>
  </si>
  <si>
    <t>Queue</t>
  </si>
  <si>
    <t>M2.Queue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</si>
  <si>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</si>
  <si>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</si>
  <si>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</si>
  <si>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</si>
  <si>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</si>
  <si>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</si>
  <si>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</si>
  <si>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</si>
  <si>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</si>
  <si>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Machine</t>
  </si>
  <si>
    <t>Instantaneous Utilization</t>
  </si>
  <si>
    <t>Resource</t>
  </si>
  <si>
    <t>Number Busy</t>
  </si>
  <si>
    <t>Number Scheduled</t>
  </si>
  <si>
    <t>WIP</t>
  </si>
  <si>
    <t>Machine.NumberSeized</t>
  </si>
  <si>
    <t>Total Number Seized</t>
  </si>
  <si>
    <t>Machine.ScheduledUtilization</t>
  </si>
  <si>
    <t>Scheduled Utilization</t>
  </si>
  <si>
    <t>Part.NumberIn</t>
  </si>
  <si>
    <t>Number In</t>
  </si>
  <si>
    <t>Part.NumberOut</t>
  </si>
  <si>
    <t>Number Out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</si>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</sst>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68">
    <dxf>
      <numFmt numFmtId="176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4" formatCode="0.00%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81849884262" createdVersion="7" refreshedVersion="8" minRefreshableVersion="3" recordCount="4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2">
        <s v="M1.Queue"/>
        <s v="M2.Queue"/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6.7655652229164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6.9784859803432298"/>
    </cacheField>
    <cacheField name="Maximum" numFmtId="0">
      <sharedItems containsSemiMixedTypes="0" containsString="0" containsNumber="1" minValue="0" maxValue="31.158637767883899"/>
    </cacheField>
    <cacheField name="NumberObservations" numFmtId="0">
      <sharedItems containsSemiMixedTypes="0" containsString="0" containsNumber="1" containsInteger="1" minValue="18" maxValue="53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14.223596737888618"/>
    </cacheField>
    <cacheField name="StDevOfAverage" numFmtId="0">
      <sharedItems containsSemiMixedTypes="0" containsString="0" containsNumber="1" minValue="0" maxValue="3.942172695516794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8948539107250921"/>
    </cacheField>
    <cacheField name="MinimumAverage" numFmtId="0">
      <sharedItems containsSemiMixedTypes="0" containsString="0" containsNumber="1" minValue="0" maxValue="7.9720693050974898"/>
    </cacheField>
    <cacheField name="MaximumAverage" numFmtId="0">
      <sharedItems containsSemiMixedTypes="0" containsString="0" containsNumber="1" minValue="0" maxValue="16.765565222916401"/>
    </cacheField>
    <cacheField name="OverallMinimum" numFmtId="0">
      <sharedItems containsSemiMixedTypes="0" containsString="0" containsNumber="1" minValue="0" maxValue="0.141997087986383"/>
    </cacheField>
    <cacheField name="OverallMaximum" numFmtId="0">
      <sharedItems containsSemiMixedTypes="0" containsString="0" containsNumber="1" minValue="0" maxValue="31.158637767883899"/>
    </cacheField>
    <cacheField name="AverageNumberObservations" numFmtId="0">
      <sharedItems containsSemiMixedTypes="0" containsString="0" containsNumber="1" minValue="23.2" maxValue="47.4"/>
    </cacheField>
    <cacheField name="SummaryHalfWidth" numFmtId="0">
      <sharedItems containsSemiMixedTypes="0" containsString="0" containsNumber="1" minValue="0" maxValue="4.8948539107250921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8185011574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Machine.NumberSeized"/>
        <s v="Machine.ScheduledUtilization"/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84062714634708002" maxValue="7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95814921188271351" maxValue="63.2"/>
    </cacheField>
    <cacheField name="StandardDeviation" numFmtId="0">
      <sharedItems containsSemiMixedTypes="0" containsString="0" containsNumber="1" minValue="6.8996964521586102E-2" maxValue="8.10555365166376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8.5671046831795855E-2" maxValue="10.064374154779951"/>
    </cacheField>
    <cacheField name="Minimum" numFmtId="0">
      <sharedItems containsSemiMixedTypes="0" containsString="0" containsNumber="1" minValue="0.84062714634708002" maxValue="53"/>
    </cacheField>
    <cacheField name="Maximum" numFmtId="0">
      <sharedItems containsSemiMixedTypes="0" containsString="0" containsNumber="1" containsInteger="1" minValue="1" maxValue="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81850347224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81850462963" createdVersion="7" refreshedVersion="8" minRefreshableVersion="3" recordCount="3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7">
        <s v="M1.Queue"/>
        <s v="M2.Queue"/>
        <s v="Machine"/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Instantaneous Utilization"/>
        <s v="Number Busy"/>
        <s v="Number Scheduled"/>
        <s v="WIP"/>
        <m u="1"/>
        <s v="Levels" u="1"/>
      </sharedItems>
    </cacheField>
    <cacheField name="Source" numFmtId="0">
      <sharedItems containsBlank="1" count="5">
        <s v="Queue"/>
        <s v="Resource"/>
        <s v="Entity"/>
        <m u="1"/>
        <s v="User Specified" u="1"/>
      </sharedItems>
    </cacheField>
    <cacheField name="Average" numFmtId="0">
      <sharedItems containsSemiMixedTypes="0" containsString="0" containsNumber="1" minValue="0.84062714634708002" maxValue="13.5630301362594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1" maxValue="28"/>
    </cacheField>
    <cacheField name="LastRecordedValue" numFmtId="0">
      <sharedItems containsSemiMixedTypes="0" containsString="0" containsNumber="1" containsInteger="1" minValue="1" maxValue="2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95814921188271351" maxValue="10.209189093529426"/>
    </cacheField>
    <cacheField name="StDevOfAverage" numFmtId="0">
      <sharedItems containsSemiMixedTypes="0" containsString="0" containsNumber="1" minValue="0" maxValue="3.290065804959673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085156261739713"/>
    </cacheField>
    <cacheField name="MinimumAverage" numFmtId="0">
      <sharedItems containsSemiMixedTypes="0" containsString="0" containsNumber="1" minValue="0.84062714634708002" maxValue="5.1297851411701201"/>
    </cacheField>
    <cacheField name="MaximumAverage" numFmtId="0">
      <sharedItems containsSemiMixedTypes="0" containsString="0" containsNumber="1" minValue="1" maxValue="13.563030136259499"/>
    </cacheField>
    <cacheField name="SummaryHalfWidth" numFmtId="0">
      <sharedItems containsSemiMixedTypes="0" containsString="0" containsNumber="1" minValue="0" maxValue="4.0851562617397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8185069444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s v="2025-04-26 17:00:28"/>
    <n v="1"/>
    <x v="0"/>
    <x v="0"/>
    <x v="0"/>
    <n v="6.58750860845673"/>
    <n v="2E+20"/>
    <n v="0"/>
    <n v="20.926003370078501"/>
    <n v="18"/>
    <s v="Unnamed ProjectM1.QueueWaiting TimeQueue"/>
    <n v="5"/>
    <n v="12.737509345143607"/>
    <n v="3.6715596528360663"/>
    <n v="0.95"/>
    <n v="4.5588434381840539"/>
    <n v="6.58750860845673"/>
    <n v="15.4915888836872"/>
    <n v="0"/>
    <n v="28.8675824914977"/>
    <n v="23.2"/>
    <n v="4.5588434381840539"/>
    <n v="5"/>
    <n v="1"/>
  </r>
  <r>
    <x v="0"/>
    <s v="2025-04-26 17:00:28"/>
    <n v="2"/>
    <x v="0"/>
    <x v="0"/>
    <x v="0"/>
    <n v="15.4915888836872"/>
    <n v="2E+20"/>
    <n v="0"/>
    <n v="28.8675824914977"/>
    <n v="23"/>
    <s v="Unnamed ProjectM1.QueueWaiting TimeQueue"/>
    <n v="5"/>
    <n v="12.737509345143607"/>
    <n v="3.6715596528360663"/>
    <n v="0.95"/>
    <n v="4.5588434381840539"/>
    <n v="6.58750860845673"/>
    <n v="15.4915888836872"/>
    <n v="0"/>
    <n v="28.8675824914977"/>
    <n v="23.2"/>
    <n v="4.5588434381840539"/>
    <n v="5"/>
    <n v="1"/>
  </r>
  <r>
    <x v="0"/>
    <s v="2025-04-26 17:00:28"/>
    <n v="3"/>
    <x v="0"/>
    <x v="0"/>
    <x v="0"/>
    <n v="12.2763204950611"/>
    <n v="2E+20"/>
    <n v="4.2488086812222399"/>
    <n v="18.9328907134432"/>
    <n v="26"/>
    <s v="Unnamed ProjectM1.QueueWaiting TimeQueue"/>
    <n v="5"/>
    <n v="12.737509345143607"/>
    <n v="3.6715596528360663"/>
    <n v="0.95"/>
    <n v="4.5588434381840539"/>
    <n v="6.58750860845673"/>
    <n v="15.4915888836872"/>
    <n v="0"/>
    <n v="28.8675824914977"/>
    <n v="23.2"/>
    <n v="4.5588434381840539"/>
    <n v="5"/>
    <n v="1"/>
  </r>
  <r>
    <x v="0"/>
    <s v="2025-04-26 17:00:28"/>
    <n v="4"/>
    <x v="0"/>
    <x v="0"/>
    <x v="0"/>
    <n v="14.009332363808801"/>
    <n v="2E+20"/>
    <n v="0"/>
    <n v="25.7317741706823"/>
    <n v="25"/>
    <s v="Unnamed ProjectM1.QueueWaiting TimeQueue"/>
    <n v="5"/>
    <n v="12.737509345143607"/>
    <n v="3.6715596528360663"/>
    <n v="0.95"/>
    <n v="4.5588434381840539"/>
    <n v="6.58750860845673"/>
    <n v="15.4915888836872"/>
    <n v="0"/>
    <n v="28.8675824914977"/>
    <n v="23.2"/>
    <n v="4.5588434381840539"/>
    <n v="5"/>
    <n v="1"/>
  </r>
  <r>
    <x v="0"/>
    <s v="2025-04-26 17:00:28"/>
    <n v="5"/>
    <x v="0"/>
    <x v="0"/>
    <x v="0"/>
    <n v="15.3227963747042"/>
    <n v="2E+20"/>
    <n v="3.8205382541542798"/>
    <n v="25.265515272205601"/>
    <n v="24"/>
    <s v="Unnamed ProjectM1.QueueWaiting TimeQueue"/>
    <n v="5"/>
    <n v="12.737509345143607"/>
    <n v="3.6715596528360663"/>
    <n v="0.95"/>
    <n v="4.5588434381840539"/>
    <n v="6.58750860845673"/>
    <n v="15.4915888836872"/>
    <n v="0"/>
    <n v="28.8675824914977"/>
    <n v="23.2"/>
    <n v="4.5588434381840539"/>
    <n v="5"/>
    <n v="1"/>
  </r>
  <r>
    <x v="0"/>
    <s v="2025-04-26 17:00:28"/>
    <n v="1"/>
    <x v="1"/>
    <x v="0"/>
    <x v="0"/>
    <n v="6.1789243065679296"/>
    <n v="2E+20"/>
    <n v="0"/>
    <n v="21.518083814536499"/>
    <n v="23"/>
    <s v="Unnamed ProjectM2.QueueWaiting TimeQueue"/>
    <n v="5"/>
    <n v="12.898080516226685"/>
    <n v="3.9421726955167946"/>
    <n v="0.95"/>
    <n v="4.8948539107250921"/>
    <n v="6.1789243065679296"/>
    <n v="15.6750076262013"/>
    <n v="0"/>
    <n v="30.759621818719001"/>
    <n v="24.4"/>
    <n v="4.8948539107250921"/>
    <n v="5"/>
    <n v="1"/>
  </r>
  <r>
    <x v="0"/>
    <s v="2025-04-26 17:00:28"/>
    <n v="2"/>
    <x v="1"/>
    <x v="0"/>
    <x v="0"/>
    <n v="14.567452092257501"/>
    <n v="2E+20"/>
    <n v="0"/>
    <n v="28.226663627778201"/>
    <n v="24"/>
    <s v="Unnamed ProjectM2.QueueWaiting TimeQueue"/>
    <n v="5"/>
    <n v="12.898080516226685"/>
    <n v="3.9421726955167946"/>
    <n v="0.95"/>
    <n v="4.8948539107250921"/>
    <n v="6.1789243065679296"/>
    <n v="15.6750076262013"/>
    <n v="0"/>
    <n v="30.759621818719001"/>
    <n v="24.4"/>
    <n v="4.8948539107250921"/>
    <n v="5"/>
    <n v="1"/>
  </r>
  <r>
    <x v="0"/>
    <s v="2025-04-26 17:00:28"/>
    <n v="3"/>
    <x v="1"/>
    <x v="0"/>
    <x v="0"/>
    <n v="12.631873227445199"/>
    <n v="2E+20"/>
    <n v="6.7988446431577998"/>
    <n v="18.739097149379901"/>
    <n v="27"/>
    <s v="Unnamed ProjectM2.QueueWaiting TimeQueue"/>
    <n v="5"/>
    <n v="12.898080516226685"/>
    <n v="3.9421726955167946"/>
    <n v="0.95"/>
    <n v="4.8948539107250921"/>
    <n v="6.1789243065679296"/>
    <n v="15.6750076262013"/>
    <n v="0"/>
    <n v="30.759621818719001"/>
    <n v="24.4"/>
    <n v="4.8948539107250921"/>
    <n v="5"/>
    <n v="1"/>
  </r>
  <r>
    <x v="0"/>
    <s v="2025-04-26 17:00:28"/>
    <n v="4"/>
    <x v="1"/>
    <x v="0"/>
    <x v="0"/>
    <n v="15.437145328661501"/>
    <n v="2E+20"/>
    <n v="2.7830428699510601"/>
    <n v="25.504838060085799"/>
    <n v="23"/>
    <s v="Unnamed ProjectM2.QueueWaiting TimeQueue"/>
    <n v="5"/>
    <n v="12.898080516226685"/>
    <n v="3.9421726955167946"/>
    <n v="0.95"/>
    <n v="4.8948539107250921"/>
    <n v="6.1789243065679296"/>
    <n v="15.6750076262013"/>
    <n v="0"/>
    <n v="30.759621818719001"/>
    <n v="24.4"/>
    <n v="4.8948539107250921"/>
    <n v="5"/>
    <n v="1"/>
  </r>
  <r>
    <x v="0"/>
    <s v="2025-04-26 17:00:28"/>
    <n v="5"/>
    <x v="1"/>
    <x v="0"/>
    <x v="0"/>
    <n v="15.6750076262013"/>
    <n v="2E+20"/>
    <n v="3.1709058907285601"/>
    <n v="30.759621818719001"/>
    <n v="25"/>
    <s v="Unnamed ProjectM2.QueueWaiting TimeQueue"/>
    <n v="5"/>
    <n v="12.898080516226685"/>
    <n v="3.9421726955167946"/>
    <n v="0.95"/>
    <n v="4.8948539107250921"/>
    <n v="6.1789243065679296"/>
    <n v="15.6750076262013"/>
    <n v="0"/>
    <n v="30.759621818719001"/>
    <n v="24.4"/>
    <n v="4.8948539107250921"/>
    <n v="5"/>
    <n v="1"/>
  </r>
  <r>
    <x v="0"/>
    <s v="2025-04-26 17:00:28"/>
    <n v="1"/>
    <x v="2"/>
    <x v="1"/>
    <x v="1"/>
    <n v="0"/>
    <n v="2E+20"/>
    <n v="0"/>
    <n v="0"/>
    <n v="40"/>
    <s v="Unnamed ProjectPartNVA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1"/>
    <x v="2"/>
    <x v="2"/>
    <x v="1"/>
    <n v="0"/>
    <n v="2E+20"/>
    <n v="0"/>
    <n v="0"/>
    <n v="40"/>
    <s v="Unnamed ProjectPartOth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1"/>
    <x v="2"/>
    <x v="3"/>
    <x v="1"/>
    <n v="7.9720693050974898"/>
    <n v="2E+20"/>
    <n v="0.141997087986383"/>
    <n v="22.7478218237774"/>
    <n v="40"/>
    <s v="Unnamed ProjectPartTotal TimeEntity"/>
    <n v="5"/>
    <n v="14.223596737888618"/>
    <n v="3.6654075168137346"/>
    <n v="0.95"/>
    <n v="4.551204552373072"/>
    <n v="7.9720693050974898"/>
    <n v="16.765565222916401"/>
    <n v="0.141997087986383"/>
    <n v="31.158637767883899"/>
    <n v="47.4"/>
    <n v="4.551204552373072"/>
    <n v="5"/>
    <n v="1"/>
  </r>
  <r>
    <x v="0"/>
    <s v="2025-04-26 17:00:28"/>
    <n v="1"/>
    <x v="2"/>
    <x v="4"/>
    <x v="1"/>
    <n v="0"/>
    <n v="2E+20"/>
    <n v="0"/>
    <n v="0"/>
    <n v="40"/>
    <s v="Unnamed ProjectPartTransf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1"/>
    <x v="2"/>
    <x v="5"/>
    <x v="1"/>
    <n v="1.8507884313554299"/>
    <n v="2E+20"/>
    <n v="6.98393973330269E-3"/>
    <n v="10.2956808331869"/>
    <n v="40"/>
    <s v="Unnamed ProjectPartVA TimeEntity"/>
    <n v="5"/>
    <n v="1.8030868757142702"/>
    <n v="8.1916212829404464E-2"/>
    <n v="0.95"/>
    <n v="0.1017124123394688"/>
    <n v="1.6598029665708101"/>
    <n v="1.8565270107326901"/>
    <n v="6.98393973330269E-3"/>
    <n v="16.165131141916099"/>
    <n v="47.4"/>
    <n v="0.1017124123394688"/>
    <n v="5"/>
    <n v="1"/>
  </r>
  <r>
    <x v="0"/>
    <s v="2025-04-26 17:00:28"/>
    <n v="1"/>
    <x v="2"/>
    <x v="6"/>
    <x v="1"/>
    <n v="6.1212808737420499"/>
    <n v="2E+20"/>
    <n v="0"/>
    <n v="21.518083814536499"/>
    <n v="40"/>
    <s v="Unnamed ProjectPartWait TimeEntity"/>
    <n v="5"/>
    <n v="12.420509862174329"/>
    <n v="3.6702420494312862"/>
    <n v="0.95"/>
    <n v="4.5572074174724273"/>
    <n v="6.1212808737420499"/>
    <n v="14.953480252228999"/>
    <n v="0"/>
    <n v="28.8675824914977"/>
    <n v="47.4"/>
    <n v="4.5572074174724273"/>
    <n v="5"/>
    <n v="1"/>
  </r>
  <r>
    <x v="0"/>
    <s v="2025-04-26 17:00:28"/>
    <n v="2"/>
    <x v="2"/>
    <x v="1"/>
    <x v="1"/>
    <n v="0"/>
    <n v="2E+20"/>
    <n v="0"/>
    <n v="0"/>
    <n v="47"/>
    <s v="Unnamed ProjectPartNVA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2"/>
    <x v="2"/>
    <x v="2"/>
    <x v="1"/>
    <n v="0"/>
    <n v="2E+20"/>
    <n v="0"/>
    <n v="0"/>
    <n v="47"/>
    <s v="Unnamed ProjectPartOth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2"/>
    <x v="2"/>
    <x v="3"/>
    <x v="1"/>
    <n v="16.296024244067599"/>
    <n v="2E+20"/>
    <n v="0.22654973722445801"/>
    <n v="31.158637767883899"/>
    <n v="47"/>
    <s v="Unnamed ProjectPartTotal TimeEntity"/>
    <n v="5"/>
    <n v="14.223596737888618"/>
    <n v="3.6654075168137346"/>
    <n v="0.95"/>
    <n v="4.551204552373072"/>
    <n v="7.9720693050974898"/>
    <n v="16.765565222916401"/>
    <n v="0.141997087986383"/>
    <n v="31.158637767883899"/>
    <n v="47.4"/>
    <n v="4.551204552373072"/>
    <n v="5"/>
    <n v="1"/>
  </r>
  <r>
    <x v="0"/>
    <s v="2025-04-26 17:00:28"/>
    <n v="2"/>
    <x v="2"/>
    <x v="4"/>
    <x v="1"/>
    <n v="0"/>
    <n v="2E+20"/>
    <n v="0"/>
    <n v="0"/>
    <n v="47"/>
    <s v="Unnamed ProjectPartTransf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2"/>
    <x v="2"/>
    <x v="5"/>
    <x v="1"/>
    <n v="1.83623099922508"/>
    <n v="2E+20"/>
    <n v="5.0283446468270702E-2"/>
    <n v="16.165131141916099"/>
    <n v="47"/>
    <s v="Unnamed ProjectPartVA TimeEntity"/>
    <n v="5"/>
    <n v="1.8030868757142702"/>
    <n v="8.1916212829404464E-2"/>
    <n v="0.95"/>
    <n v="0.1017124123394688"/>
    <n v="1.6598029665708101"/>
    <n v="1.8565270107326901"/>
    <n v="6.98393973330269E-3"/>
    <n v="16.165131141916099"/>
    <n v="47.4"/>
    <n v="0.1017124123394688"/>
    <n v="5"/>
    <n v="1"/>
  </r>
  <r>
    <x v="0"/>
    <s v="2025-04-26 17:00:28"/>
    <n v="2"/>
    <x v="2"/>
    <x v="6"/>
    <x v="1"/>
    <n v="14.4597932448425"/>
    <n v="2E+20"/>
    <n v="0"/>
    <n v="28.8675824914977"/>
    <n v="47"/>
    <s v="Unnamed ProjectPartWait TimeEntity"/>
    <n v="5"/>
    <n v="12.420509862174329"/>
    <n v="3.6702420494312862"/>
    <n v="0.95"/>
    <n v="4.5572074174724273"/>
    <n v="6.1212808737420499"/>
    <n v="14.953480252228999"/>
    <n v="0"/>
    <n v="28.8675824914977"/>
    <n v="47.4"/>
    <n v="4.5572074174724273"/>
    <n v="5"/>
    <n v="1"/>
  </r>
  <r>
    <x v="0"/>
    <s v="2025-04-26 17:00:28"/>
    <n v="3"/>
    <x v="2"/>
    <x v="1"/>
    <x v="1"/>
    <n v="0"/>
    <n v="2E+20"/>
    <n v="0"/>
    <n v="0"/>
    <n v="53"/>
    <s v="Unnamed ProjectPartNVA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3"/>
    <x v="2"/>
    <x v="2"/>
    <x v="1"/>
    <n v="0"/>
    <n v="2E+20"/>
    <n v="0"/>
    <n v="0"/>
    <n v="53"/>
    <s v="Unnamed ProjectPartOth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3"/>
    <x v="2"/>
    <x v="3"/>
    <x v="1"/>
    <n v="13.910218425487299"/>
    <n v="2E+20"/>
    <n v="6.9784859803432298"/>
    <n v="21.151044799263602"/>
    <n v="53"/>
    <s v="Unnamed ProjectPartTotal TimeEntity"/>
    <n v="5"/>
    <n v="14.223596737888618"/>
    <n v="3.6654075168137346"/>
    <n v="0.95"/>
    <n v="4.551204552373072"/>
    <n v="7.9720693050974898"/>
    <n v="16.765565222916401"/>
    <n v="0.141997087986383"/>
    <n v="31.158637767883899"/>
    <n v="47.4"/>
    <n v="4.551204552373072"/>
    <n v="5"/>
    <n v="1"/>
  </r>
  <r>
    <x v="0"/>
    <s v="2025-04-26 17:00:28"/>
    <n v="3"/>
    <x v="2"/>
    <x v="4"/>
    <x v="1"/>
    <n v="0"/>
    <n v="2E+20"/>
    <n v="0"/>
    <n v="0"/>
    <n v="53"/>
    <s v="Unnamed ProjectPartTransf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3"/>
    <x v="2"/>
    <x v="5"/>
    <x v="1"/>
    <n v="1.6598029665708101"/>
    <n v="2E+20"/>
    <n v="2.0541868668363598E-2"/>
    <n v="5.3831619296037703"/>
    <n v="53"/>
    <s v="Unnamed ProjectPartVA TimeEntity"/>
    <n v="5"/>
    <n v="1.8030868757142702"/>
    <n v="8.1916212829404464E-2"/>
    <n v="0.95"/>
    <n v="0.1017124123394688"/>
    <n v="1.6598029665708101"/>
    <n v="1.8565270107326901"/>
    <n v="6.98393973330269E-3"/>
    <n v="16.165131141916099"/>
    <n v="47.4"/>
    <n v="0.1017124123394688"/>
    <n v="5"/>
    <n v="1"/>
  </r>
  <r>
    <x v="0"/>
    <s v="2025-04-26 17:00:28"/>
    <n v="3"/>
    <x v="2"/>
    <x v="6"/>
    <x v="1"/>
    <n v="12.2504154589165"/>
    <n v="2E+20"/>
    <n v="4.2488086812222399"/>
    <n v="18.9328907134432"/>
    <n v="53"/>
    <s v="Unnamed ProjectPartWait TimeEntity"/>
    <n v="5"/>
    <n v="12.420509862174329"/>
    <n v="3.6702420494312862"/>
    <n v="0.95"/>
    <n v="4.5572074174724273"/>
    <n v="6.1212808737420499"/>
    <n v="14.953480252228999"/>
    <n v="0"/>
    <n v="28.8675824914977"/>
    <n v="47.4"/>
    <n v="4.5572074174724273"/>
    <n v="5"/>
    <n v="1"/>
  </r>
  <r>
    <x v="0"/>
    <s v="2025-04-26 17:00:28"/>
    <n v="4"/>
    <x v="2"/>
    <x v="1"/>
    <x v="1"/>
    <n v="0"/>
    <n v="2E+20"/>
    <n v="0"/>
    <n v="0"/>
    <n v="48"/>
    <s v="Unnamed ProjectPartNVA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4"/>
    <x v="2"/>
    <x v="2"/>
    <x v="1"/>
    <n v="0"/>
    <n v="2E+20"/>
    <n v="0"/>
    <n v="0"/>
    <n v="48"/>
    <s v="Unnamed ProjectPartOth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4"/>
    <x v="2"/>
    <x v="3"/>
    <x v="1"/>
    <n v="16.174106491874301"/>
    <n v="2E+20"/>
    <n v="1.6649753451834901"/>
    <n v="26.777186408903798"/>
    <n v="48"/>
    <s v="Unnamed ProjectPartTotal TimeEntity"/>
    <n v="5"/>
    <n v="14.223596737888618"/>
    <n v="3.6654075168137346"/>
    <n v="0.95"/>
    <n v="4.551204552373072"/>
    <n v="7.9720693050974898"/>
    <n v="16.765565222916401"/>
    <n v="0.141997087986383"/>
    <n v="31.158637767883899"/>
    <n v="47.4"/>
    <n v="4.551204552373072"/>
    <n v="5"/>
    <n v="1"/>
  </r>
  <r>
    <x v="0"/>
    <s v="2025-04-26 17:00:28"/>
    <n v="4"/>
    <x v="2"/>
    <x v="4"/>
    <x v="1"/>
    <n v="0"/>
    <n v="2E+20"/>
    <n v="0"/>
    <n v="0"/>
    <n v="48"/>
    <s v="Unnamed ProjectPartTransf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4"/>
    <x v="2"/>
    <x v="5"/>
    <x v="1"/>
    <n v="1.8565270107326901"/>
    <n v="2E+20"/>
    <n v="1.9402216171009502E-2"/>
    <n v="7.0786595258589999"/>
    <n v="48"/>
    <s v="Unnamed ProjectPartVA TimeEntity"/>
    <n v="5"/>
    <n v="1.8030868757142702"/>
    <n v="8.1916212829404464E-2"/>
    <n v="0.95"/>
    <n v="0.1017124123394688"/>
    <n v="1.6598029665708101"/>
    <n v="1.8565270107326901"/>
    <n v="6.98393973330269E-3"/>
    <n v="16.165131141916099"/>
    <n v="47.4"/>
    <n v="0.1017124123394688"/>
    <n v="5"/>
    <n v="1"/>
  </r>
  <r>
    <x v="0"/>
    <s v="2025-04-26 17:00:28"/>
    <n v="4"/>
    <x v="2"/>
    <x v="6"/>
    <x v="1"/>
    <n v="14.3175794811416"/>
    <n v="2E+20"/>
    <n v="0"/>
    <n v="25.7317741706823"/>
    <n v="48"/>
    <s v="Unnamed ProjectPartWait TimeEntity"/>
    <n v="5"/>
    <n v="12.420509862174329"/>
    <n v="3.6702420494312862"/>
    <n v="0.95"/>
    <n v="4.5572074174724273"/>
    <n v="6.1212808737420499"/>
    <n v="14.953480252228999"/>
    <n v="0"/>
    <n v="28.8675824914977"/>
    <n v="47.4"/>
    <n v="4.5572074174724273"/>
    <n v="5"/>
    <n v="1"/>
  </r>
  <r>
    <x v="0"/>
    <s v="2025-04-26 17:00:28"/>
    <n v="5"/>
    <x v="2"/>
    <x v="1"/>
    <x v="1"/>
    <n v="0"/>
    <n v="2E+20"/>
    <n v="0"/>
    <n v="0"/>
    <n v="49"/>
    <s v="Unnamed ProjectPartNVA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5"/>
    <x v="2"/>
    <x v="2"/>
    <x v="1"/>
    <n v="0"/>
    <n v="2E+20"/>
    <n v="0"/>
    <n v="0"/>
    <n v="49"/>
    <s v="Unnamed ProjectPartOth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5"/>
    <x v="2"/>
    <x v="3"/>
    <x v="1"/>
    <n v="16.765565222916401"/>
    <n v="2E+20"/>
    <n v="4.1949565211523003"/>
    <n v="31.1115743072219"/>
    <n v="49"/>
    <s v="Unnamed ProjectPartTotal TimeEntity"/>
    <n v="5"/>
    <n v="14.223596737888618"/>
    <n v="3.6654075168137346"/>
    <n v="0.95"/>
    <n v="4.551204552373072"/>
    <n v="7.9720693050974898"/>
    <n v="16.765565222916401"/>
    <n v="0.141997087986383"/>
    <n v="31.158637767883899"/>
    <n v="47.4"/>
    <n v="4.551204552373072"/>
    <n v="5"/>
    <n v="1"/>
  </r>
  <r>
    <x v="0"/>
    <s v="2025-04-26 17:00:28"/>
    <n v="5"/>
    <x v="2"/>
    <x v="4"/>
    <x v="1"/>
    <n v="0"/>
    <n v="2E+20"/>
    <n v="0"/>
    <n v="0"/>
    <n v="49"/>
    <s v="Unnamed ProjectPartTransfer TimeEntity"/>
    <n v="5"/>
    <n v="0"/>
    <n v="0"/>
    <n v="0.95"/>
    <n v="0"/>
    <n v="0"/>
    <n v="0"/>
    <n v="0"/>
    <n v="0"/>
    <n v="47.4"/>
    <n v="0"/>
    <n v="5"/>
    <n v="1"/>
  </r>
  <r>
    <x v="0"/>
    <s v="2025-04-26 17:00:28"/>
    <n v="5"/>
    <x v="2"/>
    <x v="5"/>
    <x v="1"/>
    <n v="1.8120849706873401"/>
    <n v="2E+20"/>
    <n v="1.4599986725791299E-2"/>
    <n v="8.5048891045152502"/>
    <n v="49"/>
    <s v="Unnamed ProjectPartVA TimeEntity"/>
    <n v="5"/>
    <n v="1.8030868757142702"/>
    <n v="8.1916212829404464E-2"/>
    <n v="0.95"/>
    <n v="0.1017124123394688"/>
    <n v="1.6598029665708101"/>
    <n v="1.8565270107326901"/>
    <n v="6.98393973330269E-3"/>
    <n v="16.165131141916099"/>
    <n v="47.4"/>
    <n v="0.1017124123394688"/>
    <n v="5"/>
    <n v="1"/>
  </r>
  <r>
    <x v="0"/>
    <s v="2025-04-26 17:00:28"/>
    <n v="5"/>
    <x v="2"/>
    <x v="6"/>
    <x v="1"/>
    <n v="14.953480252228999"/>
    <n v="2E+20"/>
    <n v="3.1709058907285601"/>
    <n v="25.265515272205601"/>
    <n v="49"/>
    <s v="Unnamed ProjectPartWait TimeEntity"/>
    <n v="5"/>
    <n v="12.420509862174329"/>
    <n v="3.6702420494312862"/>
    <n v="0.95"/>
    <n v="4.5572074174724273"/>
    <n v="6.1212808737420499"/>
    <n v="14.953480252228999"/>
    <n v="0"/>
    <n v="28.8675824914977"/>
    <n v="47.4"/>
    <n v="4.5572074174724273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6 17:00:28"/>
    <n v="1"/>
    <x v="0"/>
    <x v="0"/>
    <x v="0"/>
    <n v="41"/>
    <n v="0"/>
    <s v="Unnamed ProjectMachine.NumberSeizedTotal Number SeizedResource"/>
    <n v="5"/>
    <n v="47.6"/>
    <n v="4.3358966777357599"/>
    <n v="0.95"/>
    <n v="5.3837268046758009"/>
    <n v="41"/>
    <n v="53"/>
  </r>
  <r>
    <x v="0"/>
    <s v="2025-04-26 17:00:28"/>
    <n v="1"/>
    <x v="1"/>
    <x v="1"/>
    <x v="0"/>
    <n v="0.84062714634708002"/>
    <n v="0"/>
    <s v="Unnamed ProjectMachine.ScheduledUtilizationScheduled UtilizationResource"/>
    <n v="5"/>
    <n v="0.95814921188271351"/>
    <n v="6.8996964521586102E-2"/>
    <n v="0.95"/>
    <n v="8.5671046831795855E-2"/>
    <n v="0.84062714634708002"/>
    <n v="1"/>
  </r>
  <r>
    <x v="0"/>
    <s v="2025-04-26 17:00:28"/>
    <n v="1"/>
    <x v="2"/>
    <x v="2"/>
    <x v="1"/>
    <n v="53"/>
    <n v="0"/>
    <s v="Unnamed ProjectPart.NumberInNumber InEntity"/>
    <n v="5"/>
    <n v="63.2"/>
    <n v="8.105553651663767"/>
    <n v="0.95"/>
    <n v="10.064374154779951"/>
    <n v="53"/>
    <n v="72"/>
  </r>
  <r>
    <x v="0"/>
    <s v="2025-04-26 17:00:28"/>
    <n v="1"/>
    <x v="3"/>
    <x v="3"/>
    <x v="1"/>
    <n v="40"/>
    <n v="0"/>
    <s v="Unnamed ProjectPart.NumberOutNumber OutEntity"/>
    <n v="5"/>
    <n v="47.4"/>
    <n v="4.7222875812470377"/>
    <n v="0.95"/>
    <n v="5.8634944787991783"/>
    <n v="40"/>
    <n v="53"/>
  </r>
  <r>
    <x v="0"/>
    <s v="2025-04-26 17:00:28"/>
    <n v="1"/>
    <x v="4"/>
    <x v="3"/>
    <x v="2"/>
    <n v="40"/>
    <n v="0"/>
    <s v="Unnamed ProjectSystem.NumberOutNumber OutSystem"/>
    <n v="5"/>
    <n v="47.4"/>
    <n v="4.7222875812470377"/>
    <n v="0.95"/>
    <n v="5.8634944787991783"/>
    <n v="40"/>
    <n v="53"/>
  </r>
  <r>
    <x v="0"/>
    <s v="2025-04-26 17:00:28"/>
    <n v="2"/>
    <x v="0"/>
    <x v="0"/>
    <x v="0"/>
    <n v="47"/>
    <n v="0"/>
    <s v="Unnamed ProjectMachine.NumberSeizedTotal Number SeizedResource"/>
    <n v="5"/>
    <n v="47.6"/>
    <n v="4.3358966777357599"/>
    <n v="0.95"/>
    <n v="5.3837268046758009"/>
    <n v="41"/>
    <n v="53"/>
  </r>
  <r>
    <x v="0"/>
    <s v="2025-04-26 17:00:28"/>
    <n v="2"/>
    <x v="1"/>
    <x v="1"/>
    <x v="0"/>
    <n v="0.95101783757098701"/>
    <n v="0"/>
    <s v="Unnamed ProjectMachine.ScheduledUtilizationScheduled UtilizationResource"/>
    <n v="5"/>
    <n v="0.95814921188271351"/>
    <n v="6.8996964521586102E-2"/>
    <n v="0.95"/>
    <n v="8.5671046831795855E-2"/>
    <n v="0.84062714634708002"/>
    <n v="1"/>
  </r>
  <r>
    <x v="0"/>
    <s v="2025-04-26 17:00:28"/>
    <n v="2"/>
    <x v="2"/>
    <x v="2"/>
    <x v="1"/>
    <n v="71"/>
    <n v="0"/>
    <s v="Unnamed ProjectPart.NumberInNumber InEntity"/>
    <n v="5"/>
    <n v="63.2"/>
    <n v="8.105553651663767"/>
    <n v="0.95"/>
    <n v="10.064374154779951"/>
    <n v="53"/>
    <n v="72"/>
  </r>
  <r>
    <x v="0"/>
    <s v="2025-04-26 17:00:28"/>
    <n v="2"/>
    <x v="3"/>
    <x v="3"/>
    <x v="1"/>
    <n v="47"/>
    <n v="0"/>
    <s v="Unnamed ProjectPart.NumberOutNumber OutEntity"/>
    <n v="5"/>
    <n v="47.4"/>
    <n v="4.7222875812470377"/>
    <n v="0.95"/>
    <n v="5.8634944787991783"/>
    <n v="40"/>
    <n v="53"/>
  </r>
  <r>
    <x v="0"/>
    <s v="2025-04-26 17:00:28"/>
    <n v="2"/>
    <x v="4"/>
    <x v="3"/>
    <x v="2"/>
    <n v="47"/>
    <n v="0"/>
    <s v="Unnamed ProjectSystem.NumberOutNumber OutSystem"/>
    <n v="5"/>
    <n v="47.4"/>
    <n v="4.7222875812470377"/>
    <n v="0.95"/>
    <n v="5.8634944787991783"/>
    <n v="40"/>
    <n v="53"/>
  </r>
  <r>
    <x v="0"/>
    <s v="2025-04-26 17:00:28"/>
    <n v="3"/>
    <x v="0"/>
    <x v="0"/>
    <x v="0"/>
    <n v="53"/>
    <n v="0"/>
    <s v="Unnamed ProjectMachine.NumberSeizedTotal Number SeizedResource"/>
    <n v="5"/>
    <n v="47.6"/>
    <n v="4.3358966777357599"/>
    <n v="0.95"/>
    <n v="5.3837268046758009"/>
    <n v="41"/>
    <n v="53"/>
  </r>
  <r>
    <x v="0"/>
    <s v="2025-04-26 17:00:28"/>
    <n v="3"/>
    <x v="1"/>
    <x v="1"/>
    <x v="0"/>
    <n v="1"/>
    <n v="0"/>
    <s v="Unnamed ProjectMachine.ScheduledUtilizationScheduled UtilizationResource"/>
    <n v="5"/>
    <n v="0.95814921188271351"/>
    <n v="6.8996964521586102E-2"/>
    <n v="0.95"/>
    <n v="8.5671046831795855E-2"/>
    <n v="0.84062714634708002"/>
    <n v="1"/>
  </r>
  <r>
    <x v="0"/>
    <s v="2025-04-26 17:00:28"/>
    <n v="3"/>
    <x v="2"/>
    <x v="2"/>
    <x v="1"/>
    <n v="60"/>
    <n v="0"/>
    <s v="Unnamed ProjectPart.NumberInNumber InEntity"/>
    <n v="5"/>
    <n v="63.2"/>
    <n v="8.105553651663767"/>
    <n v="0.95"/>
    <n v="10.064374154779951"/>
    <n v="53"/>
    <n v="72"/>
  </r>
  <r>
    <x v="0"/>
    <s v="2025-04-26 17:00:28"/>
    <n v="3"/>
    <x v="3"/>
    <x v="3"/>
    <x v="1"/>
    <n v="53"/>
    <n v="0"/>
    <s v="Unnamed ProjectPart.NumberOutNumber OutEntity"/>
    <n v="5"/>
    <n v="47.4"/>
    <n v="4.7222875812470377"/>
    <n v="0.95"/>
    <n v="5.8634944787991783"/>
    <n v="40"/>
    <n v="53"/>
  </r>
  <r>
    <x v="0"/>
    <s v="2025-04-26 17:00:28"/>
    <n v="3"/>
    <x v="4"/>
    <x v="3"/>
    <x v="2"/>
    <n v="53"/>
    <n v="0"/>
    <s v="Unnamed ProjectSystem.NumberOutNumber OutSystem"/>
    <n v="5"/>
    <n v="47.4"/>
    <n v="4.7222875812470377"/>
    <n v="0.95"/>
    <n v="5.8634944787991783"/>
    <n v="40"/>
    <n v="53"/>
  </r>
  <r>
    <x v="0"/>
    <s v="2025-04-26 17:00:28"/>
    <n v="4"/>
    <x v="0"/>
    <x v="0"/>
    <x v="0"/>
    <n v="48"/>
    <n v="0"/>
    <s v="Unnamed ProjectMachine.NumberSeizedTotal Number SeizedResource"/>
    <n v="5"/>
    <n v="47.6"/>
    <n v="4.3358966777357599"/>
    <n v="0.95"/>
    <n v="5.3837268046758009"/>
    <n v="41"/>
    <n v="53"/>
  </r>
  <r>
    <x v="0"/>
    <s v="2025-04-26 17:00:28"/>
    <n v="4"/>
    <x v="1"/>
    <x v="1"/>
    <x v="0"/>
    <n v="0.99910107549550098"/>
    <n v="0"/>
    <s v="Unnamed ProjectMachine.ScheduledUtilizationScheduled UtilizationResource"/>
    <n v="5"/>
    <n v="0.95814921188271351"/>
    <n v="6.8996964521586102E-2"/>
    <n v="0.95"/>
    <n v="8.5671046831795855E-2"/>
    <n v="0.84062714634708002"/>
    <n v="1"/>
  </r>
  <r>
    <x v="0"/>
    <s v="2025-04-26 17:00:28"/>
    <n v="4"/>
    <x v="2"/>
    <x v="2"/>
    <x v="1"/>
    <n v="60"/>
    <n v="0"/>
    <s v="Unnamed ProjectPart.NumberInNumber InEntity"/>
    <n v="5"/>
    <n v="63.2"/>
    <n v="8.105553651663767"/>
    <n v="0.95"/>
    <n v="10.064374154779951"/>
    <n v="53"/>
    <n v="72"/>
  </r>
  <r>
    <x v="0"/>
    <s v="2025-04-26 17:00:28"/>
    <n v="4"/>
    <x v="3"/>
    <x v="3"/>
    <x v="1"/>
    <n v="48"/>
    <n v="0"/>
    <s v="Unnamed ProjectPart.NumberOutNumber OutEntity"/>
    <n v="5"/>
    <n v="47.4"/>
    <n v="4.7222875812470377"/>
    <n v="0.95"/>
    <n v="5.8634944787991783"/>
    <n v="40"/>
    <n v="53"/>
  </r>
  <r>
    <x v="0"/>
    <s v="2025-04-26 17:00:28"/>
    <n v="4"/>
    <x v="4"/>
    <x v="3"/>
    <x v="2"/>
    <n v="48"/>
    <n v="0"/>
    <s v="Unnamed ProjectSystem.NumberOutNumber OutSystem"/>
    <n v="5"/>
    <n v="47.4"/>
    <n v="4.7222875812470377"/>
    <n v="0.95"/>
    <n v="5.8634944787991783"/>
    <n v="40"/>
    <n v="53"/>
  </r>
  <r>
    <x v="0"/>
    <s v="2025-04-26 17:00:28"/>
    <n v="5"/>
    <x v="0"/>
    <x v="0"/>
    <x v="0"/>
    <n v="49"/>
    <n v="0"/>
    <s v="Unnamed ProjectMachine.NumberSeizedTotal Number SeizedResource"/>
    <n v="5"/>
    <n v="47.6"/>
    <n v="4.3358966777357599"/>
    <n v="0.95"/>
    <n v="5.3837268046758009"/>
    <n v="41"/>
    <n v="53"/>
  </r>
  <r>
    <x v="0"/>
    <s v="2025-04-26 17:00:28"/>
    <n v="5"/>
    <x v="1"/>
    <x v="1"/>
    <x v="0"/>
    <n v="1"/>
    <n v="0"/>
    <s v="Unnamed ProjectMachine.ScheduledUtilizationScheduled UtilizationResource"/>
    <n v="5"/>
    <n v="0.95814921188271351"/>
    <n v="6.8996964521586102E-2"/>
    <n v="0.95"/>
    <n v="8.5671046831795855E-2"/>
    <n v="0.84062714634708002"/>
    <n v="1"/>
  </r>
  <r>
    <x v="0"/>
    <s v="2025-04-26 17:00:28"/>
    <n v="5"/>
    <x v="2"/>
    <x v="2"/>
    <x v="1"/>
    <n v="72"/>
    <n v="0"/>
    <s v="Unnamed ProjectPart.NumberInNumber InEntity"/>
    <n v="5"/>
    <n v="63.2"/>
    <n v="8.105553651663767"/>
    <n v="0.95"/>
    <n v="10.064374154779951"/>
    <n v="53"/>
    <n v="72"/>
  </r>
  <r>
    <x v="0"/>
    <s v="2025-04-26 17:00:28"/>
    <n v="5"/>
    <x v="3"/>
    <x v="3"/>
    <x v="1"/>
    <n v="49"/>
    <n v="0"/>
    <s v="Unnamed ProjectPart.NumberOutNumber OutEntity"/>
    <n v="5"/>
    <n v="47.4"/>
    <n v="4.7222875812470377"/>
    <n v="0.95"/>
    <n v="5.8634944787991783"/>
    <n v="40"/>
    <n v="53"/>
  </r>
  <r>
    <x v="0"/>
    <s v="2025-04-26 17:00:28"/>
    <n v="5"/>
    <x v="4"/>
    <x v="3"/>
    <x v="2"/>
    <n v="49"/>
    <n v="0"/>
    <s v="Unnamed ProjectSystem.NumberOutNumber OutSystem"/>
    <n v="5"/>
    <n v="47.4"/>
    <n v="4.7222875812470377"/>
    <n v="0.95"/>
    <n v="5.8634944787991783"/>
    <n v="40"/>
    <n v="5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2025-04-26 17:00:28"/>
    <n v="1"/>
    <x v="0"/>
    <x v="0"/>
    <x v="0"/>
    <n v="2.01887931044172"/>
    <n v="2E+20"/>
    <n v="0"/>
    <n v="7"/>
    <n v="6"/>
    <n v="0"/>
    <s v="Unnamed ProjectM1.QueueNumber WaitingQueue"/>
    <n v="5"/>
    <n v="4.5983662270938694"/>
    <n v="1.6824303317732894"/>
    <n v="0.95"/>
    <n v="2.0890131724489076"/>
    <n v="2.01887931044172"/>
    <n v="6.3661179129323102"/>
    <n v="2.0890131724489076"/>
  </r>
  <r>
    <x v="0"/>
    <s v="2025-04-26 17:00:28"/>
    <n v="1"/>
    <x v="1"/>
    <x v="0"/>
    <x v="0"/>
    <n v="2.2702786843813199"/>
    <n v="2E+20"/>
    <n v="0"/>
    <n v="8"/>
    <n v="6"/>
    <n v="0"/>
    <s v="Unnamed ProjectM2.QueueNumber WaitingQueue"/>
    <n v="5"/>
    <n v="4.6526736545528404"/>
    <n v="1.5567172376716019"/>
    <n v="0.95"/>
    <n v="1.9329197494000401"/>
    <n v="2.2702786843813199"/>
    <n v="6.1969122233271596"/>
    <n v="1.9329197494000401"/>
  </r>
  <r>
    <x v="0"/>
    <s v="2025-04-26 17:00:28"/>
    <n v="1"/>
    <x v="2"/>
    <x v="1"/>
    <x v="1"/>
    <n v="0.84062714634708002"/>
    <n v="2E+20"/>
    <n v="0"/>
    <n v="1"/>
    <n v="1"/>
    <n v="0"/>
    <s v="Unnamed ProjectMachineInstantaneous Utilization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1"/>
    <x v="2"/>
    <x v="2"/>
    <x v="1"/>
    <n v="0.84062714634708002"/>
    <n v="2E+20"/>
    <n v="0"/>
    <n v="1"/>
    <n v="1"/>
    <n v="0"/>
    <s v="Unnamed ProjectMachineNumber Busy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1"/>
    <x v="2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00:28"/>
    <n v="1"/>
    <x v="3"/>
    <x v="4"/>
    <x v="2"/>
    <n v="5.1297851411701201"/>
    <n v="2E+20"/>
    <n v="0"/>
    <n v="16"/>
    <n v="13"/>
    <n v="0"/>
    <s v="Unnamed ProjectPartWIPEntity"/>
    <n v="5"/>
    <n v="10.209189093529426"/>
    <n v="3.2900658049596738"/>
    <n v="0.95"/>
    <n v="4.085156261739713"/>
    <n v="5.1297851411701201"/>
    <n v="13.563030136259499"/>
    <n v="4.085156261739713"/>
  </r>
  <r>
    <x v="0"/>
    <s v="2025-04-26 17:00:28"/>
    <n v="2"/>
    <x v="0"/>
    <x v="0"/>
    <x v="0"/>
    <n v="5.5806528553544696"/>
    <n v="2E+20"/>
    <n v="0"/>
    <n v="14"/>
    <n v="12"/>
    <n v="0"/>
    <s v="Unnamed ProjectM1.QueueNumber WaitingQueue"/>
    <n v="5"/>
    <n v="4.5983662270938694"/>
    <n v="1.6824303317732894"/>
    <n v="0.95"/>
    <n v="2.0890131724489076"/>
    <n v="2.01887931044172"/>
    <n v="6.3661179129323102"/>
    <n v="2.0890131724489076"/>
  </r>
  <r>
    <x v="0"/>
    <s v="2025-04-26 17:00:28"/>
    <n v="2"/>
    <x v="1"/>
    <x v="0"/>
    <x v="0"/>
    <n v="5.7584304738567198"/>
    <n v="2E+20"/>
    <n v="0"/>
    <n v="13"/>
    <n v="12"/>
    <n v="0"/>
    <s v="Unnamed ProjectM2.QueueNumber WaitingQueue"/>
    <n v="5"/>
    <n v="4.6526736545528404"/>
    <n v="1.5567172376716019"/>
    <n v="0.95"/>
    <n v="1.9329197494000401"/>
    <n v="2.2702786843813199"/>
    <n v="6.1969122233271596"/>
    <n v="1.9329197494000401"/>
  </r>
  <r>
    <x v="0"/>
    <s v="2025-04-26 17:00:28"/>
    <n v="2"/>
    <x v="2"/>
    <x v="1"/>
    <x v="1"/>
    <n v="0.95101783757098701"/>
    <n v="2E+20"/>
    <n v="0"/>
    <n v="1"/>
    <n v="1"/>
    <n v="0"/>
    <s v="Unnamed ProjectMachineInstantaneous Utilization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2"/>
    <x v="2"/>
    <x v="2"/>
    <x v="1"/>
    <n v="0.95101783757098701"/>
    <n v="2E+20"/>
    <n v="0"/>
    <n v="1"/>
    <n v="1"/>
    <n v="0"/>
    <s v="Unnamed ProjectMachineNumber Busy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2"/>
    <x v="2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00:28"/>
    <n v="2"/>
    <x v="3"/>
    <x v="4"/>
    <x v="2"/>
    <n v="12.2901011667822"/>
    <n v="2E+20"/>
    <n v="0"/>
    <n v="28"/>
    <n v="25"/>
    <n v="0"/>
    <s v="Unnamed ProjectPartWIPEntity"/>
    <n v="5"/>
    <n v="10.209189093529426"/>
    <n v="3.2900658049596738"/>
    <n v="0.95"/>
    <n v="4.085156261739713"/>
    <n v="5.1297851411701201"/>
    <n v="13.563030136259499"/>
    <n v="4.085156261739713"/>
  </r>
  <r>
    <x v="0"/>
    <s v="2025-04-26 17:00:28"/>
    <n v="3"/>
    <x v="0"/>
    <x v="0"/>
    <x v="0"/>
    <n v="3.9819796174140998"/>
    <n v="2E+20"/>
    <n v="1"/>
    <n v="7"/>
    <n v="5"/>
    <n v="0"/>
    <s v="Unnamed ProjectM1.QueueNumber WaitingQueue"/>
    <n v="5"/>
    <n v="4.5983662270938694"/>
    <n v="1.6824303317732894"/>
    <n v="0.95"/>
    <n v="2.0890131724489076"/>
    <n v="2.01887931044172"/>
    <n v="6.3661179129323102"/>
    <n v="2.0890131724489076"/>
  </r>
  <r>
    <x v="0"/>
    <s v="2025-04-26 17:00:28"/>
    <n v="3"/>
    <x v="1"/>
    <x v="0"/>
    <x v="0"/>
    <n v="4.0861538217101199"/>
    <n v="2E+20"/>
    <n v="0"/>
    <n v="7"/>
    <n v="4"/>
    <n v="0"/>
    <s v="Unnamed ProjectM2.QueueNumber WaitingQueue"/>
    <n v="5"/>
    <n v="4.6526736545528404"/>
    <n v="1.5567172376716019"/>
    <n v="0.95"/>
    <n v="1.9329197494000401"/>
    <n v="2.2702786843813199"/>
    <n v="6.1969122233271596"/>
    <n v="1.9329197494000401"/>
  </r>
  <r>
    <x v="0"/>
    <s v="2025-04-26 17:00:28"/>
    <n v="3"/>
    <x v="2"/>
    <x v="1"/>
    <x v="1"/>
    <n v="1"/>
    <n v="2E+20"/>
    <n v="0"/>
    <n v="1"/>
    <n v="1"/>
    <n v="0"/>
    <s v="Unnamed ProjectMachineInstantaneous Utilization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3"/>
    <x v="2"/>
    <x v="2"/>
    <x v="1"/>
    <n v="1"/>
    <n v="2E+20"/>
    <n v="0"/>
    <n v="1"/>
    <n v="1"/>
    <n v="0"/>
    <s v="Unnamed ProjectMachineNumber Busy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3"/>
    <x v="2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00:28"/>
    <n v="3"/>
    <x v="3"/>
    <x v="4"/>
    <x v="2"/>
    <n v="9.0681334391242103"/>
    <n v="2E+20"/>
    <n v="3"/>
    <n v="15"/>
    <n v="10"/>
    <n v="0"/>
    <s v="Unnamed ProjectPartWIPEntity"/>
    <n v="5"/>
    <n v="10.209189093529426"/>
    <n v="3.2900658049596738"/>
    <n v="0.95"/>
    <n v="4.085156261739713"/>
    <n v="5.1297851411701201"/>
    <n v="13.563030136259499"/>
    <n v="4.085156261739713"/>
  </r>
  <r>
    <x v="0"/>
    <s v="2025-04-26 17:00:28"/>
    <n v="4"/>
    <x v="0"/>
    <x v="0"/>
    <x v="0"/>
    <n v="5.0442014393267502"/>
    <n v="2E+20"/>
    <n v="0"/>
    <n v="10"/>
    <n v="7"/>
    <n v="0"/>
    <s v="Unnamed ProjectM1.QueueNumber WaitingQueue"/>
    <n v="5"/>
    <n v="4.5983662270938694"/>
    <n v="1.6824303317732894"/>
    <n v="0.95"/>
    <n v="2.0890131724489076"/>
    <n v="2.01887931044172"/>
    <n v="6.3661179129323102"/>
    <n v="2.0890131724489076"/>
  </r>
  <r>
    <x v="0"/>
    <s v="2025-04-26 17:00:28"/>
    <n v="4"/>
    <x v="1"/>
    <x v="0"/>
    <x v="0"/>
    <n v="4.9515930694888803"/>
    <n v="2E+20"/>
    <n v="0"/>
    <n v="10"/>
    <n v="7"/>
    <n v="0"/>
    <s v="Unnamed ProjectM2.QueueNumber WaitingQueue"/>
    <n v="5"/>
    <n v="4.6526736545528404"/>
    <n v="1.5567172376716019"/>
    <n v="0.95"/>
    <n v="1.9329197494000401"/>
    <n v="2.2702786843813199"/>
    <n v="6.1969122233271596"/>
    <n v="1.9329197494000401"/>
  </r>
  <r>
    <x v="0"/>
    <s v="2025-04-26 17:00:28"/>
    <n v="4"/>
    <x v="2"/>
    <x v="1"/>
    <x v="1"/>
    <n v="0.99910107549550098"/>
    <n v="2E+20"/>
    <n v="0"/>
    <n v="1"/>
    <n v="1"/>
    <n v="0"/>
    <s v="Unnamed ProjectMachineInstantaneous Utilization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4"/>
    <x v="2"/>
    <x v="2"/>
    <x v="1"/>
    <n v="0.99910107549550098"/>
    <n v="2E+20"/>
    <n v="0"/>
    <n v="1"/>
    <n v="1"/>
    <n v="0"/>
    <s v="Unnamed ProjectMachineNumber Busy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4"/>
    <x v="2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00:28"/>
    <n v="4"/>
    <x v="3"/>
    <x v="4"/>
    <x v="2"/>
    <n v="10.9948955843111"/>
    <n v="2E+20"/>
    <n v="0"/>
    <n v="21"/>
    <n v="15"/>
    <n v="0"/>
    <s v="Unnamed ProjectPartWIPEntity"/>
    <n v="5"/>
    <n v="10.209189093529426"/>
    <n v="3.2900658049596738"/>
    <n v="0.95"/>
    <n v="4.085156261739713"/>
    <n v="5.1297851411701201"/>
    <n v="13.563030136259499"/>
    <n v="4.085156261739713"/>
  </r>
  <r>
    <x v="0"/>
    <s v="2025-04-26 17:00:28"/>
    <n v="5"/>
    <x v="0"/>
    <x v="0"/>
    <x v="0"/>
    <n v="6.3661179129323102"/>
    <n v="2E+20"/>
    <n v="1"/>
    <n v="13"/>
    <n v="13"/>
    <n v="0"/>
    <s v="Unnamed ProjectM1.QueueNumber WaitingQueue"/>
    <n v="5"/>
    <n v="4.5983662270938694"/>
    <n v="1.6824303317732894"/>
    <n v="0.95"/>
    <n v="2.0890131724489076"/>
    <n v="2.01887931044172"/>
    <n v="6.3661179129323102"/>
    <n v="2.0890131724489076"/>
  </r>
  <r>
    <x v="0"/>
    <s v="2025-04-26 17:00:28"/>
    <n v="5"/>
    <x v="1"/>
    <x v="0"/>
    <x v="0"/>
    <n v="6.1969122233271596"/>
    <n v="2E+20"/>
    <n v="0"/>
    <n v="13"/>
    <n v="13"/>
    <n v="0"/>
    <s v="Unnamed ProjectM2.QueueNumber WaitingQueue"/>
    <n v="5"/>
    <n v="4.6526736545528404"/>
    <n v="1.5567172376716019"/>
    <n v="0.95"/>
    <n v="1.9329197494000401"/>
    <n v="2.2702786843813199"/>
    <n v="6.1969122233271596"/>
    <n v="1.9329197494000401"/>
  </r>
  <r>
    <x v="0"/>
    <s v="2025-04-26 17:00:28"/>
    <n v="5"/>
    <x v="2"/>
    <x v="1"/>
    <x v="1"/>
    <n v="1"/>
    <n v="2E+20"/>
    <n v="0"/>
    <n v="1"/>
    <n v="1"/>
    <n v="0"/>
    <s v="Unnamed ProjectMachineInstantaneous Utilization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5"/>
    <x v="2"/>
    <x v="2"/>
    <x v="1"/>
    <n v="1"/>
    <n v="2E+20"/>
    <n v="0"/>
    <n v="1"/>
    <n v="1"/>
    <n v="0"/>
    <s v="Unnamed ProjectMachineNumber BusyResource"/>
    <n v="5"/>
    <n v="0.95814921188271351"/>
    <n v="6.8996964521586102E-2"/>
    <n v="0.95"/>
    <n v="8.5671046831795855E-2"/>
    <n v="0.84062714634708002"/>
    <n v="1"/>
    <n v="8.5671046831795855E-2"/>
  </r>
  <r>
    <x v="0"/>
    <s v="2025-04-26 17:00:28"/>
    <n v="5"/>
    <x v="2"/>
    <x v="3"/>
    <x v="1"/>
    <n v="1"/>
    <n v="2E+20"/>
    <n v="1"/>
    <n v="1"/>
    <n v="1"/>
    <n v="0"/>
    <s v="Unnamed ProjectMachineNumber ScheduledResource"/>
    <n v="5"/>
    <n v="1"/>
    <n v="0"/>
    <n v="0.95"/>
    <n v="0"/>
    <n v="1"/>
    <n v="1"/>
    <n v="0"/>
  </r>
  <r>
    <x v="0"/>
    <s v="2025-04-26 17:00:28"/>
    <n v="5"/>
    <x v="3"/>
    <x v="4"/>
    <x v="2"/>
    <n v="13.563030136259499"/>
    <n v="2E+20"/>
    <n v="3"/>
    <n v="27"/>
    <n v="27"/>
    <n v="0"/>
    <s v="Unnamed ProjectPartWIPEntity"/>
    <n v="5"/>
    <n v="10.209189093529426"/>
    <n v="3.2900658049596738"/>
    <n v="0.95"/>
    <n v="4.085156261739713"/>
    <n v="5.1297851411701201"/>
    <n v="13.563030136259499"/>
    <n v="4.08515626173971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0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8">
    <i>
      <x v="3"/>
      <x v="99"/>
      <x v="7"/>
      <x v="1"/>
    </i>
    <i r="1">
      <x v="100"/>
      <x v="7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9"/>
        <item m="1" x="6"/>
        <item m="1" x="30"/>
        <item m="1" x="7"/>
        <item m="1" x="31"/>
        <item m="1" x="8"/>
        <item m="1" x="32"/>
        <item m="1" x="9"/>
        <item m="1" x="63"/>
        <item m="1" x="19"/>
        <item x="4"/>
        <item m="1" x="62"/>
        <item m="1" x="49"/>
        <item m="1" x="66"/>
        <item m="1" x="51"/>
        <item m="1" x="67"/>
        <item m="1" x="74"/>
        <item x="0"/>
        <item x="1"/>
        <item m="1" x="60"/>
        <item m="1" x="50"/>
        <item m="1" x="48"/>
        <item m="1" x="15"/>
        <item m="1" x="58"/>
        <item m="1" x="24"/>
        <item m="1" x="59"/>
        <item m="1" x="25"/>
        <item m="1" x="57"/>
        <item m="1" x="77"/>
        <item m="1" x="18"/>
        <item m="1" x="80"/>
        <item m="1" x="45"/>
        <item m="1" x="13"/>
        <item m="1" x="75"/>
        <item m="1" x="70"/>
        <item m="1" x="46"/>
        <item m="1" x="14"/>
        <item m="1" x="76"/>
        <item m="1" x="71"/>
        <item m="1" x="10"/>
        <item m="1" x="43"/>
        <item m="1" x="27"/>
        <item m="1" x="17"/>
        <item m="1" x="68"/>
        <item m="1" x="39"/>
        <item m="1" x="69"/>
        <item m="1" x="40"/>
        <item m="1" x="26"/>
        <item m="1" x="21"/>
        <item m="1" x="47"/>
        <item m="1" x="23"/>
        <item m="1" x="79"/>
        <item m="1" x="72"/>
        <item m="1" x="22"/>
        <item m="1" x="20"/>
        <item m="1" x="64"/>
        <item m="1" x="73"/>
        <item m="1" x="11"/>
        <item m="1" x="28"/>
        <item m="1" x="41"/>
        <item m="1" x="61"/>
        <item m="1" x="78"/>
        <item m="1" x="12"/>
        <item m="1" x="38"/>
        <item m="1" x="42"/>
        <item m="1" x="65"/>
        <item m="1" x="44"/>
        <item m="1" x="16"/>
        <item m="1" x="33"/>
        <item m="1" x="52"/>
        <item m="1" x="34"/>
        <item m="1" x="53"/>
        <item m="1" x="35"/>
        <item m="1" x="54"/>
        <item m="1" x="36"/>
        <item m="1" x="55"/>
        <item m="1" x="37"/>
        <item m="1" x="56"/>
        <item m="1" x="5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17"/>
      <x v="3"/>
      <x v="1"/>
    </i>
    <i r="1">
      <x v="18"/>
      <x v="2"/>
      <x v="1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8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9"/>
        <item m="1" x="10"/>
        <item m="1" x="26"/>
        <item m="1" x="34"/>
        <item m="1" x="47"/>
        <item m="1" x="46"/>
        <item m="1" x="11"/>
        <item m="1" x="111"/>
        <item m="1" x="89"/>
        <item m="1" x="52"/>
        <item m="1" x="39"/>
        <item m="1" x="43"/>
        <item m="1" x="125"/>
        <item x="2"/>
        <item m="1" x="110"/>
        <item m="1" x="32"/>
        <item m="1" x="83"/>
        <item m="1" x="97"/>
        <item m="1" x="8"/>
        <item m="1" x="33"/>
        <item m="1" x="120"/>
        <item m="1" x="23"/>
        <item m="1" x="112"/>
        <item m="1" x="12"/>
        <item m="1" x="38"/>
        <item m="1" x="64"/>
        <item m="1" x="9"/>
        <item m="1" x="15"/>
        <item m="1" x="84"/>
        <item m="1" x="65"/>
        <item m="1" x="99"/>
        <item m="1" x="55"/>
        <item m="1" x="20"/>
        <item m="1" x="49"/>
        <item m="1" x="85"/>
        <item m="1" x="70"/>
        <item m="1" x="21"/>
        <item m="1" x="30"/>
        <item m="1" x="92"/>
        <item m="1" x="7"/>
        <item m="1" x="119"/>
        <item m="1" x="77"/>
        <item m="1" x="18"/>
        <item m="1" x="102"/>
        <item m="1" x="48"/>
        <item m="1" x="121"/>
        <item m="1" x="82"/>
        <item m="1" x="25"/>
        <item m="1" x="69"/>
        <item m="1" x="88"/>
        <item m="1" x="101"/>
        <item m="1" x="109"/>
        <item m="1" x="118"/>
        <item m="1" x="6"/>
        <item m="1" x="24"/>
        <item m="1" x="37"/>
        <item m="1" x="27"/>
        <item m="1" x="5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2"/>
        <item m="1" x="28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6"/>
        <item m="1" x="80"/>
        <item m="1" x="96"/>
        <item m="1" x="105"/>
        <item m="1" x="113"/>
        <item m="1" x="124"/>
        <item m="1" x="13"/>
        <item m="1" x="31"/>
        <item m="1" x="123"/>
        <item m="1" x="14"/>
        <item m="1" x="81"/>
        <item m="1" x="56"/>
        <item m="1" x="71"/>
        <item m="1" x="17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4"/>
        <item x="0"/>
        <item x="1"/>
        <item x="3"/>
      </items>
    </pivotField>
    <pivotField axis="axisRow" compact="0" outline="0" showAll="0" defaultSubtotal="0">
      <items count="7">
        <item x="1"/>
        <item x="2"/>
        <item x="3"/>
        <item x="0"/>
        <item x="4"/>
        <item m="1" x="6"/>
        <item m="1" x="5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6">
    <i>
      <x v="3"/>
      <x v="13"/>
      <x/>
      <x v="2"/>
    </i>
    <i r="2">
      <x v="1"/>
      <x v="2"/>
    </i>
    <i r="2">
      <x v="2"/>
      <x v="2"/>
    </i>
    <i r="1">
      <x v="124"/>
      <x v="3"/>
      <x v="1"/>
    </i>
    <i r="1">
      <x v="125"/>
      <x v="3"/>
      <x v="1"/>
    </i>
    <i r="1">
      <x v="12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2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1" tableType="queryTable" totalsRowShown="0">
  <autoFilter ref="A1:Y41" xr:uid="{C3D003CA-1AFF-426C-A03D-D3AF5760DF1A}"/>
  <sortState xmlns:xlrd2="http://schemas.microsoft.com/office/spreadsheetml/2017/richdata2" ref="A2:Y41">
    <sortCondition ref="D1:D4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31" tableType="queryTable" totalsRowShown="0">
  <autoFilter ref="A1:U3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8.7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</v>
      </c>
      <c r="G2">
        <f>0.95</f>
        <v>0.95</v>
      </c>
    </row>
  </sheetData>
  <phoneticPr fontId="2" type="noConversion"/>
  <conditionalFormatting sqref="D2">
    <cfRule type="expression" dxfId="67" priority="1">
      <formula>D2=3</formula>
    </cfRule>
    <cfRule type="expression" dxfId="66" priority="2">
      <formula>D2=2</formula>
    </cfRule>
    <cfRule type="expression" dxfId="65" priority="3">
      <formula>D2=1</formula>
    </cfRule>
    <cfRule type="expression" dxfId="64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0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12.737509345143607</v>
      </c>
      <c r="F3" s="5">
        <v>1</v>
      </c>
      <c r="G3" s="5">
        <v>4.5588434381840539</v>
      </c>
      <c r="H3" s="5">
        <v>3.6715596528360663</v>
      </c>
      <c r="I3" s="5">
        <v>6.58750860845673</v>
      </c>
      <c r="J3" s="5">
        <v>15.4915888836872</v>
      </c>
      <c r="K3" s="5">
        <v>0</v>
      </c>
      <c r="L3" s="5">
        <v>28.8675824914977</v>
      </c>
      <c r="M3" s="5">
        <v>23.2</v>
      </c>
      <c r="O3" t="s">
        <v>66</v>
      </c>
      <c r="P3" t="s">
        <v>83</v>
      </c>
      <c r="Q3" t="s">
        <v>84</v>
      </c>
      <c r="R3" t="s">
        <v>85</v>
      </c>
      <c r="S3" s="5">
        <v>0.95814921188271351</v>
      </c>
      <c r="T3" s="5">
        <v>8.5671046831795855E-2</v>
      </c>
      <c r="U3" s="5">
        <v>6.8996964521586102E-2</v>
      </c>
      <c r="V3" s="5">
        <v>0.84062714634708002</v>
      </c>
      <c r="W3" s="5">
        <v>1</v>
      </c>
      <c r="X3" s="5">
        <v>0</v>
      </c>
      <c r="Y3" s="5">
        <v>1</v>
      </c>
      <c r="AA3" t="s">
        <v>99</v>
      </c>
      <c r="AB3" t="s">
        <v>99</v>
      </c>
      <c r="AC3" t="s">
        <v>99</v>
      </c>
      <c r="AD3" t="s">
        <v>99</v>
      </c>
      <c r="AE3" s="5"/>
      <c r="AF3" s="5"/>
      <c r="AG3" s="5"/>
      <c r="AH3" s="5"/>
      <c r="AI3" s="5"/>
      <c r="AK3" t="s">
        <v>66</v>
      </c>
      <c r="AL3" t="s">
        <v>97</v>
      </c>
      <c r="AM3" t="s">
        <v>96</v>
      </c>
      <c r="AN3" t="s">
        <v>98</v>
      </c>
      <c r="AO3" s="5">
        <v>47.4</v>
      </c>
      <c r="AP3" s="5">
        <v>5.8634944787991783</v>
      </c>
      <c r="AQ3" s="5">
        <v>4.7222875812470377</v>
      </c>
      <c r="AR3" s="5">
        <v>40</v>
      </c>
      <c r="AS3" s="5">
        <v>53</v>
      </c>
      <c r="AU3" t="s">
        <v>99</v>
      </c>
      <c r="AV3" t="s">
        <v>99</v>
      </c>
      <c r="AW3" t="s">
        <v>99</v>
      </c>
      <c r="AX3" t="s">
        <v>99</v>
      </c>
      <c r="AY3" s="4"/>
      <c r="AZ3" s="4"/>
    </row>
    <row r="4" spans="1:52" x14ac:dyDescent="0.3">
      <c r="B4" t="s">
        <v>73</v>
      </c>
      <c r="C4" t="s">
        <v>71</v>
      </c>
      <c r="D4" t="s">
        <v>72</v>
      </c>
      <c r="E4" s="5">
        <v>12.898080516226685</v>
      </c>
      <c r="F4" s="5">
        <v>1</v>
      </c>
      <c r="G4" s="5">
        <v>4.8948539107250921</v>
      </c>
      <c r="H4" s="5">
        <v>3.9421726955167946</v>
      </c>
      <c r="I4" s="5">
        <v>6.1789243065679296</v>
      </c>
      <c r="J4" s="5">
        <v>15.6750076262013</v>
      </c>
      <c r="K4" s="5">
        <v>0</v>
      </c>
      <c r="L4" s="5">
        <v>30.759621818719001</v>
      </c>
      <c r="M4" s="5">
        <v>24.4</v>
      </c>
      <c r="Q4" t="s">
        <v>86</v>
      </c>
      <c r="R4" t="s">
        <v>85</v>
      </c>
      <c r="S4" s="5">
        <v>0.95814921188271351</v>
      </c>
      <c r="T4" s="5">
        <v>8.5671046831795855E-2</v>
      </c>
      <c r="U4" s="5">
        <v>6.8996964521586102E-2</v>
      </c>
      <c r="V4" s="5">
        <v>0.84062714634708002</v>
      </c>
      <c r="W4" s="5">
        <v>1</v>
      </c>
      <c r="X4" s="5">
        <v>0</v>
      </c>
      <c r="Y4" s="5">
        <v>1</v>
      </c>
      <c r="AL4" t="s">
        <v>89</v>
      </c>
      <c r="AM4" t="s">
        <v>90</v>
      </c>
      <c r="AN4" t="s">
        <v>85</v>
      </c>
      <c r="AO4" s="5">
        <v>47.6</v>
      </c>
      <c r="AP4" s="5">
        <v>5.3837268046758009</v>
      </c>
      <c r="AQ4" s="5">
        <v>4.3358966777357599</v>
      </c>
      <c r="AR4" s="5">
        <v>41</v>
      </c>
      <c r="AS4" s="5">
        <v>53</v>
      </c>
    </row>
    <row r="5" spans="1:52" x14ac:dyDescent="0.3">
      <c r="B5" t="s">
        <v>74</v>
      </c>
      <c r="C5" t="s">
        <v>75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47.4</v>
      </c>
      <c r="Q5" t="s">
        <v>87</v>
      </c>
      <c r="R5" t="s">
        <v>85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91</v>
      </c>
      <c r="AM5" t="s">
        <v>92</v>
      </c>
      <c r="AN5" t="s">
        <v>85</v>
      </c>
      <c r="AO5" s="5">
        <v>0.95814921188271351</v>
      </c>
      <c r="AP5" s="5">
        <v>8.5671046831795855E-2</v>
      </c>
      <c r="AQ5" s="5">
        <v>6.8996964521586102E-2</v>
      </c>
      <c r="AR5" s="5">
        <v>0.84062714634708002</v>
      </c>
      <c r="AS5" s="5">
        <v>1</v>
      </c>
    </row>
    <row r="6" spans="1:52" x14ac:dyDescent="0.3">
      <c r="C6" t="s">
        <v>77</v>
      </c>
      <c r="D6" t="s">
        <v>76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47.4</v>
      </c>
      <c r="P6" t="s">
        <v>70</v>
      </c>
      <c r="Q6" t="s">
        <v>82</v>
      </c>
      <c r="R6" t="s">
        <v>72</v>
      </c>
      <c r="S6" s="5">
        <v>4.5983662270938694</v>
      </c>
      <c r="T6" s="5">
        <v>2.0890131724489076</v>
      </c>
      <c r="U6" s="5">
        <v>1.6824303317732894</v>
      </c>
      <c r="V6" s="5">
        <v>2.01887931044172</v>
      </c>
      <c r="W6" s="5">
        <v>6.3661179129323102</v>
      </c>
      <c r="X6" s="5">
        <v>0</v>
      </c>
      <c r="Y6" s="5">
        <v>14</v>
      </c>
      <c r="AL6" t="s">
        <v>93</v>
      </c>
      <c r="AM6" t="s">
        <v>94</v>
      </c>
      <c r="AN6" t="s">
        <v>76</v>
      </c>
      <c r="AO6" s="5">
        <v>63.2</v>
      </c>
      <c r="AP6" s="5">
        <v>10.064374154779951</v>
      </c>
      <c r="AQ6" s="5">
        <v>8.105553651663767</v>
      </c>
      <c r="AR6" s="5">
        <v>53</v>
      </c>
      <c r="AS6" s="5">
        <v>72</v>
      </c>
    </row>
    <row r="7" spans="1:52" x14ac:dyDescent="0.3">
      <c r="C7" t="s">
        <v>78</v>
      </c>
      <c r="D7" t="s">
        <v>76</v>
      </c>
      <c r="E7" s="5">
        <v>14.223596737888618</v>
      </c>
      <c r="F7" s="5">
        <v>1</v>
      </c>
      <c r="G7" s="5">
        <v>4.551204552373072</v>
      </c>
      <c r="H7" s="5">
        <v>3.6654075168137346</v>
      </c>
      <c r="I7" s="5">
        <v>7.9720693050974898</v>
      </c>
      <c r="J7" s="5">
        <v>16.765565222916401</v>
      </c>
      <c r="K7" s="5">
        <v>0.141997087986383</v>
      </c>
      <c r="L7" s="5">
        <v>31.158637767883899</v>
      </c>
      <c r="M7" s="5">
        <v>47.4</v>
      </c>
      <c r="P7" t="s">
        <v>73</v>
      </c>
      <c r="Q7" t="s">
        <v>82</v>
      </c>
      <c r="R7" t="s">
        <v>72</v>
      </c>
      <c r="S7" s="5">
        <v>4.6526736545528404</v>
      </c>
      <c r="T7" s="5">
        <v>1.9329197494000401</v>
      </c>
      <c r="U7" s="5">
        <v>1.5567172376716019</v>
      </c>
      <c r="V7" s="5">
        <v>2.2702786843813199</v>
      </c>
      <c r="W7" s="5">
        <v>6.1969122233271596</v>
      </c>
      <c r="X7" s="5">
        <v>0</v>
      </c>
      <c r="Y7" s="5">
        <v>13</v>
      </c>
      <c r="AL7" t="s">
        <v>95</v>
      </c>
      <c r="AM7" t="s">
        <v>96</v>
      </c>
      <c r="AN7" t="s">
        <v>76</v>
      </c>
      <c r="AO7" s="5">
        <v>47.4</v>
      </c>
      <c r="AP7" s="5">
        <v>5.8634944787991783</v>
      </c>
      <c r="AQ7" s="5">
        <v>4.7222875812470377</v>
      </c>
      <c r="AR7" s="5">
        <v>40</v>
      </c>
      <c r="AS7" s="5">
        <v>53</v>
      </c>
    </row>
    <row r="8" spans="1:52" x14ac:dyDescent="0.3">
      <c r="C8" t="s">
        <v>79</v>
      </c>
      <c r="D8" t="s">
        <v>76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47.4</v>
      </c>
      <c r="P8" t="s">
        <v>74</v>
      </c>
      <c r="Q8" t="s">
        <v>88</v>
      </c>
      <c r="R8" t="s">
        <v>76</v>
      </c>
      <c r="S8" s="5">
        <v>10.209189093529426</v>
      </c>
      <c r="T8" s="5">
        <v>4.085156261739713</v>
      </c>
      <c r="U8" s="5">
        <v>3.2900658049596738</v>
      </c>
      <c r="V8" s="5">
        <v>5.1297851411701201</v>
      </c>
      <c r="W8" s="5">
        <v>13.563030136259499</v>
      </c>
      <c r="X8" s="5">
        <v>0</v>
      </c>
      <c r="Y8" s="5">
        <v>28</v>
      </c>
    </row>
    <row r="9" spans="1:52" x14ac:dyDescent="0.3">
      <c r="C9" t="s">
        <v>80</v>
      </c>
      <c r="D9" t="s">
        <v>76</v>
      </c>
      <c r="E9" s="5">
        <v>1.8030868757142702</v>
      </c>
      <c r="F9" s="5">
        <v>1</v>
      </c>
      <c r="G9" s="5">
        <v>0.1017124123394688</v>
      </c>
      <c r="H9" s="5">
        <v>8.1916212829404464E-2</v>
      </c>
      <c r="I9" s="5">
        <v>1.6598029665708101</v>
      </c>
      <c r="J9" s="5">
        <v>1.8565270107326901</v>
      </c>
      <c r="K9" s="5">
        <v>6.98393973330269E-3</v>
      </c>
      <c r="L9" s="5">
        <v>16.165131141916099</v>
      </c>
      <c r="M9" s="5">
        <v>47.4</v>
      </c>
    </row>
    <row r="10" spans="1:52" x14ac:dyDescent="0.3">
      <c r="C10" t="s">
        <v>81</v>
      </c>
      <c r="D10" t="s">
        <v>76</v>
      </c>
      <c r="E10" s="5">
        <v>12.420509862174329</v>
      </c>
      <c r="F10" s="5">
        <v>1</v>
      </c>
      <c r="G10" s="5">
        <v>4.5572074174724273</v>
      </c>
      <c r="H10" s="5">
        <v>3.6702420494312862</v>
      </c>
      <c r="I10" s="5">
        <v>6.1212808737420499</v>
      </c>
      <c r="J10" s="5">
        <v>14.953480252228999</v>
      </c>
      <c r="K10" s="5">
        <v>0</v>
      </c>
      <c r="L10" s="5">
        <v>28.8675824914977</v>
      </c>
      <c r="M10" s="5">
        <v>47.4</v>
      </c>
    </row>
  </sheetData>
  <dataConsolidate/>
  <phoneticPr fontId="3" type="noConversion"/>
  <conditionalFormatting pivot="1" sqref="G3:G10">
    <cfRule type="expression" dxfId="63" priority="14">
      <formula>G3=200000000000000000000</formula>
    </cfRule>
  </conditionalFormatting>
  <conditionalFormatting pivot="1" sqref="T3:T8">
    <cfRule type="expression" dxfId="62" priority="13">
      <formula>T3=200000000000000000000</formula>
    </cfRule>
  </conditionalFormatting>
  <conditionalFormatting pivot="1" sqref="T3:T8">
    <cfRule type="expression" dxfId="61" priority="12">
      <formula>T3=300000000000000000000</formula>
    </cfRule>
  </conditionalFormatting>
  <conditionalFormatting pivot="1" sqref="G3:G10">
    <cfRule type="expression" dxfId="60" priority="11">
      <formula>G3=300000000000000000000</formula>
    </cfRule>
  </conditionalFormatting>
  <conditionalFormatting pivot="1" sqref="F3:F10">
    <cfRule type="expression" dxfId="59" priority="10">
      <formula>F3=0</formula>
    </cfRule>
  </conditionalFormatting>
  <conditionalFormatting pivot="1" sqref="F3:F10">
    <cfRule type="expression" dxfId="58" priority="9">
      <formula>F3=1</formula>
    </cfRule>
  </conditionalFormatting>
  <conditionalFormatting pivot="1" sqref="T3:T8">
    <cfRule type="expression" dxfId="57" priority="8">
      <formula>T3=400000000000000000000</formula>
    </cfRule>
  </conditionalFormatting>
  <conditionalFormatting pivot="1" sqref="AP3:AP7">
    <cfRule type="expression" dxfId="56" priority="7">
      <formula>AP3=400000000000000000000</formula>
    </cfRule>
  </conditionalFormatting>
  <conditionalFormatting pivot="1" sqref="AF3">
    <cfRule type="expression" dxfId="55" priority="6">
      <formula>AF3=400000000000000000000</formula>
    </cfRule>
  </conditionalFormatting>
  <conditionalFormatting pivot="1" sqref="G3:G10">
    <cfRule type="expression" dxfId="54" priority="5">
      <formula>G3=400000000000000000000</formula>
    </cfRule>
  </conditionalFormatting>
  <conditionalFormatting pivot="1" sqref="AZ3">
    <cfRule type="expression" dxfId="53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4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9.41406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40.832031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6.58750860845673</v>
      </c>
      <c r="H2">
        <v>2E+20</v>
      </c>
      <c r="I2">
        <v>0</v>
      </c>
      <c r="J2">
        <v>20.926003370078501</v>
      </c>
      <c r="K2">
        <v>18</v>
      </c>
      <c r="L2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12.737509345143607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3.6715596528360663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4.5588434381840539</v>
      </c>
      <c r="R2" cm="1">
        <f t="array" ref="R2">MIN(IF((DiscreteStatsTable[GroupByKey]=DiscreteStatsTable[[#This Row],[GroupByKey]]),(DiscreteStatsTable[GroupByKey]=DiscreteStatsTable[[#This Row],[GroupByKey]])*DiscreteStatsTable[Average]))</f>
        <v>6.58750860845673</v>
      </c>
      <c r="S2" cm="1">
        <f t="array" ref="S2">MAX(IF((DiscreteStatsTable[GroupByKey]=DiscreteStatsTable[[#This Row],[GroupByKey]]),(DiscreteStatsTable[GroupByKey]=DiscreteStatsTable[[#This Row],[GroupByKey]])*DiscreteStatsTable[Average]))</f>
        <v>15.4915888836872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28.8675824914977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23.2</v>
      </c>
      <c r="W2">
        <f>IF((DiscreteStatsTable[[#This Row],[RepsRequested]]&gt;1),DiscreteStatsTable[[#This Row],[HalfWidth]],DiscreteStatsTable[[#This Row],[BatchMeansHalfWidth]])</f>
        <v>4.5588434381840539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15.4915888836872</v>
      </c>
      <c r="H3">
        <v>2E+20</v>
      </c>
      <c r="I3">
        <v>0</v>
      </c>
      <c r="J3">
        <v>28.8675824914977</v>
      </c>
      <c r="K3">
        <v>23</v>
      </c>
      <c r="L3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12.737509345143607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3.6715596528360663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4.5588434381840539</v>
      </c>
      <c r="R3" cm="1">
        <f t="array" ref="R3">MIN(IF((DiscreteStatsTable[GroupByKey]=DiscreteStatsTable[[#This Row],[GroupByKey]]),(DiscreteStatsTable[GroupByKey]=DiscreteStatsTable[[#This Row],[GroupByKey]])*DiscreteStatsTable[Average]))</f>
        <v>6.58750860845673</v>
      </c>
      <c r="S3" cm="1">
        <f t="array" ref="S3">MAX(IF((DiscreteStatsTable[GroupByKey]=DiscreteStatsTable[[#This Row],[GroupByKey]]),(DiscreteStatsTable[GroupByKey]=DiscreteStatsTable[[#This Row],[GroupByKey]])*DiscreteStatsTable[Average]))</f>
        <v>15.4915888836872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28.8675824914977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23.2</v>
      </c>
      <c r="W3">
        <f>IF((DiscreteStatsTable[[#This Row],[RepsRequested]]&gt;1),DiscreteStatsTable[[#This Row],[HalfWidth]],DiscreteStatsTable[[#This Row],[BatchMeansHalfWidth]])</f>
        <v>4.5588434381840539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12.2763204950611</v>
      </c>
      <c r="H4">
        <v>2E+20</v>
      </c>
      <c r="I4">
        <v>4.2488086812222399</v>
      </c>
      <c r="J4">
        <v>18.9328907134432</v>
      </c>
      <c r="K4">
        <v>26</v>
      </c>
      <c r="L4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12.737509345143607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3.6715596528360663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4.5588434381840539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6.58750860845673</v>
      </c>
      <c r="S4" cm="1">
        <f t="array" ref="S4">MAX(IF((DiscreteStatsTable[GroupByKey]=DiscreteStatsTable[[#This Row],[GroupByKey]]),(DiscreteStatsTable[GroupByKey]=DiscreteStatsTable[[#This Row],[GroupByKey]])*DiscreteStatsTable[Average]))</f>
        <v>15.4915888836872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28.8675824914977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23.2</v>
      </c>
      <c r="W4">
        <f>IF((DiscreteStatsTable[[#This Row],[RepsRequested]]&gt;1),DiscreteStatsTable[[#This Row],[HalfWidth]],DiscreteStatsTable[[#This Row],[BatchMeansHalfWidth]])</f>
        <v>4.5588434381840539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14.009332363808801</v>
      </c>
      <c r="H5">
        <v>2E+20</v>
      </c>
      <c r="I5">
        <v>0</v>
      </c>
      <c r="J5">
        <v>25.7317741706823</v>
      </c>
      <c r="K5">
        <v>25</v>
      </c>
      <c r="L5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12.737509345143607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3.6715596528360663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4.5588434381840539</v>
      </c>
      <c r="R5" cm="1">
        <f t="array" ref="R5">MIN(IF((DiscreteStatsTable[GroupByKey]=DiscreteStatsTable[[#This Row],[GroupByKey]]),(DiscreteStatsTable[GroupByKey]=DiscreteStatsTable[[#This Row],[GroupByKey]])*DiscreteStatsTable[Average]))</f>
        <v>6.58750860845673</v>
      </c>
      <c r="S5" cm="1">
        <f t="array" ref="S5">MAX(IF((DiscreteStatsTable[GroupByKey]=DiscreteStatsTable[[#This Row],[GroupByKey]]),(DiscreteStatsTable[GroupByKey]=DiscreteStatsTable[[#This Row],[GroupByKey]])*DiscreteStatsTable[Average]))</f>
        <v>15.4915888836872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28.8675824914977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23.2</v>
      </c>
      <c r="W5">
        <f>IF((DiscreteStatsTable[[#This Row],[RepsRequested]]&gt;1),DiscreteStatsTable[[#This Row],[HalfWidth]],DiscreteStatsTable[[#This Row],[BatchMeansHalfWidth]])</f>
        <v>4.5588434381840539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15.3227963747042</v>
      </c>
      <c r="H6">
        <v>2E+20</v>
      </c>
      <c r="I6">
        <v>3.8205382541542798</v>
      </c>
      <c r="J6">
        <v>25.265515272205601</v>
      </c>
      <c r="K6">
        <v>24</v>
      </c>
      <c r="L6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12.737509345143607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3.6715596528360663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4.5588434381840539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6.58750860845673</v>
      </c>
      <c r="S6" cm="1">
        <f t="array" ref="S6">MAX(IF((DiscreteStatsTable[GroupByKey]=DiscreteStatsTable[[#This Row],[GroupByKey]]),(DiscreteStatsTable[GroupByKey]=DiscreteStatsTable[[#This Row],[GroupByKey]])*DiscreteStatsTable[Average]))</f>
        <v>15.4915888836872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28.8675824914977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23.2</v>
      </c>
      <c r="W6">
        <f>IF((DiscreteStatsTable[[#This Row],[RepsRequested]]&gt;1),DiscreteStatsTable[[#This Row],[HalfWidth]],DiscreteStatsTable[[#This Row],[BatchMeansHalfWidth]])</f>
        <v>4.5588434381840539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73</v>
      </c>
      <c r="E7" t="s">
        <v>71</v>
      </c>
      <c r="F7" t="s">
        <v>72</v>
      </c>
      <c r="G7">
        <v>6.1789243065679296</v>
      </c>
      <c r="H7">
        <v>2E+20</v>
      </c>
      <c r="I7">
        <v>0</v>
      </c>
      <c r="J7">
        <v>21.518083814536499</v>
      </c>
      <c r="K7">
        <v>23</v>
      </c>
      <c r="L7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12.898080516226685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3.9421726955167946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4.8948539107250921</v>
      </c>
      <c r="R7" cm="1">
        <f t="array" ref="R7">MIN(IF((DiscreteStatsTable[GroupByKey]=DiscreteStatsTable[[#This Row],[GroupByKey]]),(DiscreteStatsTable[GroupByKey]=DiscreteStatsTable[[#This Row],[GroupByKey]])*DiscreteStatsTable[Average]))</f>
        <v>6.1789243065679296</v>
      </c>
      <c r="S7" cm="1">
        <f t="array" ref="S7">MAX(IF((DiscreteStatsTable[GroupByKey]=DiscreteStatsTable[[#This Row],[GroupByKey]]),(DiscreteStatsTable[GroupByKey]=DiscreteStatsTable[[#This Row],[GroupByKey]])*DiscreteStatsTable[Average]))</f>
        <v>15.6750076262013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30.759621818719001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24.4</v>
      </c>
      <c r="W7">
        <f>IF((DiscreteStatsTable[[#This Row],[RepsRequested]]&gt;1),DiscreteStatsTable[[#This Row],[HalfWidth]],DiscreteStatsTable[[#This Row],[BatchMeansHalfWidth]])</f>
        <v>4.8948539107250921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73</v>
      </c>
      <c r="E8" t="s">
        <v>71</v>
      </c>
      <c r="F8" t="s">
        <v>72</v>
      </c>
      <c r="G8">
        <v>14.567452092257501</v>
      </c>
      <c r="H8">
        <v>2E+20</v>
      </c>
      <c r="I8">
        <v>0</v>
      </c>
      <c r="J8">
        <v>28.226663627778201</v>
      </c>
      <c r="K8">
        <v>24</v>
      </c>
      <c r="L8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12.898080516226685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3.9421726955167946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4.8948539107250921</v>
      </c>
      <c r="R8" cm="1">
        <f t="array" ref="R8">MIN(IF((DiscreteStatsTable[GroupByKey]=DiscreteStatsTable[[#This Row],[GroupByKey]]),(DiscreteStatsTable[GroupByKey]=DiscreteStatsTable[[#This Row],[GroupByKey]])*DiscreteStatsTable[Average]))</f>
        <v>6.1789243065679296</v>
      </c>
      <c r="S8" cm="1">
        <f t="array" ref="S8">MAX(IF((DiscreteStatsTable[GroupByKey]=DiscreteStatsTable[[#This Row],[GroupByKey]]),(DiscreteStatsTable[GroupByKey]=DiscreteStatsTable[[#This Row],[GroupByKey]])*DiscreteStatsTable[Average]))</f>
        <v>15.6750076262013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30.759621818719001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24.4</v>
      </c>
      <c r="W8">
        <f>IF((DiscreteStatsTable[[#This Row],[RepsRequested]]&gt;1),DiscreteStatsTable[[#This Row],[HalfWidth]],DiscreteStatsTable[[#This Row],[BatchMeansHalfWidth]])</f>
        <v>4.8948539107250921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3</v>
      </c>
      <c r="D9" t="s">
        <v>73</v>
      </c>
      <c r="E9" t="s">
        <v>71</v>
      </c>
      <c r="F9" t="s">
        <v>72</v>
      </c>
      <c r="G9">
        <v>12.631873227445199</v>
      </c>
      <c r="H9">
        <v>2E+20</v>
      </c>
      <c r="I9">
        <v>6.7988446431577998</v>
      </c>
      <c r="J9">
        <v>18.739097149379901</v>
      </c>
      <c r="K9">
        <v>27</v>
      </c>
      <c r="L9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12.898080516226685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3.9421726955167946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4.8948539107250921</v>
      </c>
      <c r="R9" cm="1">
        <f t="array" ref="R9">MIN(IF((DiscreteStatsTable[GroupByKey]=DiscreteStatsTable[[#This Row],[GroupByKey]]),(DiscreteStatsTable[GroupByKey]=DiscreteStatsTable[[#This Row],[GroupByKey]])*DiscreteStatsTable[Average]))</f>
        <v>6.1789243065679296</v>
      </c>
      <c r="S9" cm="1">
        <f t="array" ref="S9">MAX(IF((DiscreteStatsTable[GroupByKey]=DiscreteStatsTable[[#This Row],[GroupByKey]]),(DiscreteStatsTable[GroupByKey]=DiscreteStatsTable[[#This Row],[GroupByKey]])*DiscreteStatsTable[Average]))</f>
        <v>15.6750076262013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30.759621818719001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24.4</v>
      </c>
      <c r="W9">
        <f>IF((DiscreteStatsTable[[#This Row],[RepsRequested]]&gt;1),DiscreteStatsTable[[#This Row],[HalfWidth]],DiscreteStatsTable[[#This Row],[BatchMeansHalfWidth]])</f>
        <v>4.8948539107250921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4</v>
      </c>
      <c r="D10" t="s">
        <v>73</v>
      </c>
      <c r="E10" t="s">
        <v>71</v>
      </c>
      <c r="F10" t="s">
        <v>72</v>
      </c>
      <c r="G10">
        <v>15.437145328661501</v>
      </c>
      <c r="H10">
        <v>2E+20</v>
      </c>
      <c r="I10">
        <v>2.7830428699510601</v>
      </c>
      <c r="J10">
        <v>25.504838060085799</v>
      </c>
      <c r="K10">
        <v>23</v>
      </c>
      <c r="L10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12.898080516226685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3.9421726955167946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4.8948539107250921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6.1789243065679296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15.6750076262013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30.759621818719001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24.4</v>
      </c>
      <c r="W10">
        <f>IF((DiscreteStatsTable[[#This Row],[RepsRequested]]&gt;1),DiscreteStatsTable[[#This Row],[HalfWidth]],DiscreteStatsTable[[#This Row],[BatchMeansHalfWidth]])</f>
        <v>4.8948539107250921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5</v>
      </c>
      <c r="D11" t="s">
        <v>73</v>
      </c>
      <c r="E11" t="s">
        <v>71</v>
      </c>
      <c r="F11" t="s">
        <v>72</v>
      </c>
      <c r="G11">
        <v>15.6750076262013</v>
      </c>
      <c r="H11">
        <v>2E+20</v>
      </c>
      <c r="I11">
        <v>3.1709058907285601</v>
      </c>
      <c r="J11">
        <v>30.759621818719001</v>
      </c>
      <c r="K11">
        <v>25</v>
      </c>
      <c r="L11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12.898080516226685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3.9421726955167946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4.8948539107250921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6.1789243065679296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15.6750076262013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30.759621818719001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24.4</v>
      </c>
      <c r="W11">
        <f>IF((DiscreteStatsTable[[#This Row],[RepsRequested]]&gt;1),DiscreteStatsTable[[#This Row],[HalfWidth]],DiscreteStatsTable[[#This Row],[BatchMeansHalfWidth]])</f>
        <v>4.8948539107250921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1</v>
      </c>
      <c r="D12" t="s">
        <v>74</v>
      </c>
      <c r="E12" t="s">
        <v>75</v>
      </c>
      <c r="F12" t="s">
        <v>76</v>
      </c>
      <c r="G12">
        <v>0</v>
      </c>
      <c r="H12">
        <v>2E+20</v>
      </c>
      <c r="I12">
        <v>0</v>
      </c>
      <c r="J12">
        <v>0</v>
      </c>
      <c r="K12">
        <v>40</v>
      </c>
      <c r="L12" t="str">
        <f>DiscreteStatsTable[[#This Row],[ProjectName]]&amp;DiscreteStatsTable[[#This Row],[Name]]&amp;DiscreteStatsTable[[#This Row],[Type]]&amp;DiscreteStatsTable[[#This Row],[Source]]</f>
        <v>Unnamed ProjectPartNVA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47.4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1</v>
      </c>
      <c r="D13" t="s">
        <v>74</v>
      </c>
      <c r="E13" t="s">
        <v>77</v>
      </c>
      <c r="F13" t="s">
        <v>76</v>
      </c>
      <c r="G13">
        <v>0</v>
      </c>
      <c r="H13">
        <v>2E+20</v>
      </c>
      <c r="I13">
        <v>0</v>
      </c>
      <c r="J13">
        <v>0</v>
      </c>
      <c r="K13">
        <v>40</v>
      </c>
      <c r="L13" t="str">
        <f>DiscreteStatsTable[[#This Row],[ProjectName]]&amp;DiscreteStatsTable[[#This Row],[Name]]&amp;DiscreteStatsTable[[#This Row],[Type]]&amp;DiscreteStatsTable[[#This Row],[Source]]</f>
        <v>Unnamed ProjectPartOther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47.4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1</v>
      </c>
      <c r="D14" t="s">
        <v>74</v>
      </c>
      <c r="E14" t="s">
        <v>78</v>
      </c>
      <c r="F14" t="s">
        <v>76</v>
      </c>
      <c r="G14">
        <v>7.9720693050974898</v>
      </c>
      <c r="H14">
        <v>2E+20</v>
      </c>
      <c r="I14">
        <v>0.141997087986383</v>
      </c>
      <c r="J14">
        <v>22.7478218237774</v>
      </c>
      <c r="K14">
        <v>40</v>
      </c>
      <c r="L14" t="str">
        <f>DiscreteStatsTable[[#This Row],[ProjectName]]&amp;DiscreteStatsTable[[#This Row],[Name]]&amp;DiscreteStatsTable[[#This Row],[Type]]&amp;DiscreteStatsTable[[#This Row],[Source]]</f>
        <v>Unnamed ProjectPartTotal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14.223596737888618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3.6654075168137346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4.551204552373072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7.9720693050974898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16.765565222916401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0.141997087986383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31.158637767883899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47.4</v>
      </c>
      <c r="W14">
        <f>IF((DiscreteStatsTable[[#This Row],[RepsRequested]]&gt;1),DiscreteStatsTable[[#This Row],[HalfWidth]],DiscreteStatsTable[[#This Row],[BatchMeansHalfWidth]])</f>
        <v>4.551204552373072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1</v>
      </c>
      <c r="D15" t="s">
        <v>74</v>
      </c>
      <c r="E15" t="s">
        <v>79</v>
      </c>
      <c r="F15" t="s">
        <v>76</v>
      </c>
      <c r="G15">
        <v>0</v>
      </c>
      <c r="H15">
        <v>2E+20</v>
      </c>
      <c r="I15">
        <v>0</v>
      </c>
      <c r="J15">
        <v>0</v>
      </c>
      <c r="K15">
        <v>40</v>
      </c>
      <c r="L15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47.4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1</v>
      </c>
      <c r="D16" t="s">
        <v>74</v>
      </c>
      <c r="E16" t="s">
        <v>80</v>
      </c>
      <c r="F16" t="s">
        <v>76</v>
      </c>
      <c r="G16">
        <v>1.8507884313554299</v>
      </c>
      <c r="H16">
        <v>2E+20</v>
      </c>
      <c r="I16">
        <v>6.98393973330269E-3</v>
      </c>
      <c r="J16">
        <v>10.2956808331869</v>
      </c>
      <c r="K16">
        <v>40</v>
      </c>
      <c r="L16" t="str">
        <f>DiscreteStatsTable[[#This Row],[ProjectName]]&amp;DiscreteStatsTable[[#This Row],[Name]]&amp;DiscreteStatsTable[[#This Row],[Type]]&amp;DiscreteStatsTable[[#This Row],[Source]]</f>
        <v>Unnamed ProjectPartVA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1.8030868757142702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8.1916212829404464E-2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0.1017124123394688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1.6598029665708101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1.8565270107326901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6.98393973330269E-3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16.165131141916099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47.4</v>
      </c>
      <c r="W16">
        <f>IF((DiscreteStatsTable[[#This Row],[RepsRequested]]&gt;1),DiscreteStatsTable[[#This Row],[HalfWidth]],DiscreteStatsTable[[#This Row],[BatchMeansHalfWidth]])</f>
        <v>0.1017124123394688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1</v>
      </c>
      <c r="D17" t="s">
        <v>74</v>
      </c>
      <c r="E17" t="s">
        <v>81</v>
      </c>
      <c r="F17" t="s">
        <v>76</v>
      </c>
      <c r="G17">
        <v>6.1212808737420499</v>
      </c>
      <c r="H17">
        <v>2E+20</v>
      </c>
      <c r="I17">
        <v>0</v>
      </c>
      <c r="J17">
        <v>21.518083814536499</v>
      </c>
      <c r="K17">
        <v>40</v>
      </c>
      <c r="L17" t="str">
        <f>DiscreteStatsTable[[#This Row],[ProjectName]]&amp;DiscreteStatsTable[[#This Row],[Name]]&amp;DiscreteStatsTable[[#This Row],[Type]]&amp;DiscreteStatsTable[[#This Row],[Source]]</f>
        <v>Unnamed ProjectPartWait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12.420509862174329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3.6702420494312862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4.5572074174724273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6.1212808737420499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14.953480252228999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28.8675824914977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47.4</v>
      </c>
      <c r="W17">
        <f>IF((DiscreteStatsTable[[#This Row],[RepsRequested]]&gt;1),DiscreteStatsTable[[#This Row],[HalfWidth]],DiscreteStatsTable[[#This Row],[BatchMeansHalfWidth]])</f>
        <v>4.5572074174724273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2</v>
      </c>
      <c r="D18" t="s">
        <v>74</v>
      </c>
      <c r="E18" t="s">
        <v>75</v>
      </c>
      <c r="F18" t="s">
        <v>76</v>
      </c>
      <c r="G18">
        <v>0</v>
      </c>
      <c r="H18">
        <v>2E+20</v>
      </c>
      <c r="I18">
        <v>0</v>
      </c>
      <c r="J18">
        <v>0</v>
      </c>
      <c r="K18">
        <v>47</v>
      </c>
      <c r="L18" t="str">
        <f>DiscreteStatsTable[[#This Row],[ProjectName]]&amp;DiscreteStatsTable[[#This Row],[Name]]&amp;DiscreteStatsTable[[#This Row],[Type]]&amp;DiscreteStatsTable[[#This Row],[Source]]</f>
        <v>Unnamed ProjectPartNVA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47.4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2</v>
      </c>
      <c r="D19" t="s">
        <v>74</v>
      </c>
      <c r="E19" t="s">
        <v>77</v>
      </c>
      <c r="F19" t="s">
        <v>76</v>
      </c>
      <c r="G19">
        <v>0</v>
      </c>
      <c r="H19">
        <v>2E+20</v>
      </c>
      <c r="I19">
        <v>0</v>
      </c>
      <c r="J19">
        <v>0</v>
      </c>
      <c r="K19">
        <v>47</v>
      </c>
      <c r="L19" t="str">
        <f>DiscreteStatsTable[[#This Row],[ProjectName]]&amp;DiscreteStatsTable[[#This Row],[Name]]&amp;DiscreteStatsTable[[#This Row],[Type]]&amp;DiscreteStatsTable[[#This Row],[Source]]</f>
        <v>Unnamed ProjectPartOther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47.4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2</v>
      </c>
      <c r="D20" t="s">
        <v>74</v>
      </c>
      <c r="E20" t="s">
        <v>78</v>
      </c>
      <c r="F20" t="s">
        <v>76</v>
      </c>
      <c r="G20">
        <v>16.296024244067599</v>
      </c>
      <c r="H20">
        <v>2E+20</v>
      </c>
      <c r="I20">
        <v>0.22654973722445801</v>
      </c>
      <c r="J20">
        <v>31.158637767883899</v>
      </c>
      <c r="K20">
        <v>47</v>
      </c>
      <c r="L20" t="str">
        <f>DiscreteStatsTable[[#This Row],[ProjectName]]&amp;DiscreteStatsTable[[#This Row],[Name]]&amp;DiscreteStatsTable[[#This Row],[Type]]&amp;DiscreteStatsTable[[#This Row],[Source]]</f>
        <v>Unnamed ProjectPartTotal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14.223596737888618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3.6654075168137346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4.551204552373072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7.9720693050974898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16.765565222916401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0.141997087986383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31.158637767883899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47.4</v>
      </c>
      <c r="W20">
        <f>IF((DiscreteStatsTable[[#This Row],[RepsRequested]]&gt;1),DiscreteStatsTable[[#This Row],[HalfWidth]],DiscreteStatsTable[[#This Row],[BatchMeansHalfWidth]])</f>
        <v>4.551204552373072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2</v>
      </c>
      <c r="D21" t="s">
        <v>74</v>
      </c>
      <c r="E21" t="s">
        <v>79</v>
      </c>
      <c r="F21" t="s">
        <v>76</v>
      </c>
      <c r="G21">
        <v>0</v>
      </c>
      <c r="H21">
        <v>2E+20</v>
      </c>
      <c r="I21">
        <v>0</v>
      </c>
      <c r="J21">
        <v>0</v>
      </c>
      <c r="K21">
        <v>47</v>
      </c>
      <c r="L21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47.4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2</v>
      </c>
      <c r="D22" t="s">
        <v>74</v>
      </c>
      <c r="E22" t="s">
        <v>80</v>
      </c>
      <c r="F22" t="s">
        <v>76</v>
      </c>
      <c r="G22">
        <v>1.83623099922508</v>
      </c>
      <c r="H22">
        <v>2E+20</v>
      </c>
      <c r="I22">
        <v>5.0283446468270702E-2</v>
      </c>
      <c r="J22">
        <v>16.165131141916099</v>
      </c>
      <c r="K22">
        <v>47</v>
      </c>
      <c r="L22" t="str">
        <f>DiscreteStatsTable[[#This Row],[ProjectName]]&amp;DiscreteStatsTable[[#This Row],[Name]]&amp;DiscreteStatsTable[[#This Row],[Type]]&amp;DiscreteStatsTable[[#This Row],[Source]]</f>
        <v>Unnamed ProjectPartVA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1.8030868757142702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8.1916212829404464E-2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0.1017124123394688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1.6598029665708101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1.8565270107326901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6.98393973330269E-3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16.165131141916099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47.4</v>
      </c>
      <c r="W22">
        <f>IF((DiscreteStatsTable[[#This Row],[RepsRequested]]&gt;1),DiscreteStatsTable[[#This Row],[HalfWidth]],DiscreteStatsTable[[#This Row],[BatchMeansHalfWidth]])</f>
        <v>0.1017124123394688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2</v>
      </c>
      <c r="D23" t="s">
        <v>74</v>
      </c>
      <c r="E23" t="s">
        <v>81</v>
      </c>
      <c r="F23" t="s">
        <v>76</v>
      </c>
      <c r="G23">
        <v>14.4597932448425</v>
      </c>
      <c r="H23">
        <v>2E+20</v>
      </c>
      <c r="I23">
        <v>0</v>
      </c>
      <c r="J23">
        <v>28.8675824914977</v>
      </c>
      <c r="K23">
        <v>47</v>
      </c>
      <c r="L23" t="str">
        <f>DiscreteStatsTable[[#This Row],[ProjectName]]&amp;DiscreteStatsTable[[#This Row],[Name]]&amp;DiscreteStatsTable[[#This Row],[Type]]&amp;DiscreteStatsTable[[#This Row],[Source]]</f>
        <v>Unnamed ProjectPartWait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12.420509862174329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3.6702420494312862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4.5572074174724273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6.1212808737420499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14.953480252228999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28.8675824914977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47.4</v>
      </c>
      <c r="W23">
        <f>IF((DiscreteStatsTable[[#This Row],[RepsRequested]]&gt;1),DiscreteStatsTable[[#This Row],[HalfWidth]],DiscreteStatsTable[[#This Row],[BatchMeansHalfWidth]])</f>
        <v>4.5572074174724273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3</v>
      </c>
      <c r="D24" t="s">
        <v>74</v>
      </c>
      <c r="E24" t="s">
        <v>75</v>
      </c>
      <c r="F24" t="s">
        <v>76</v>
      </c>
      <c r="G24">
        <v>0</v>
      </c>
      <c r="H24">
        <v>2E+20</v>
      </c>
      <c r="I24">
        <v>0</v>
      </c>
      <c r="J24">
        <v>0</v>
      </c>
      <c r="K24">
        <v>53</v>
      </c>
      <c r="L24" t="str">
        <f>DiscreteStatsTable[[#This Row],[ProjectName]]&amp;DiscreteStatsTable[[#This Row],[Name]]&amp;DiscreteStatsTable[[#This Row],[Type]]&amp;DiscreteStatsTable[[#This Row],[Source]]</f>
        <v>Unnamed ProjectPartNVA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47.4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3</v>
      </c>
      <c r="D25" t="s">
        <v>74</v>
      </c>
      <c r="E25" t="s">
        <v>77</v>
      </c>
      <c r="F25" t="s">
        <v>76</v>
      </c>
      <c r="G25">
        <v>0</v>
      </c>
      <c r="H25">
        <v>2E+20</v>
      </c>
      <c r="I25">
        <v>0</v>
      </c>
      <c r="J25">
        <v>0</v>
      </c>
      <c r="K25">
        <v>53</v>
      </c>
      <c r="L25" t="str">
        <f>DiscreteStatsTable[[#This Row],[ProjectName]]&amp;DiscreteStatsTable[[#This Row],[Name]]&amp;DiscreteStatsTable[[#This Row],[Type]]&amp;DiscreteStatsTable[[#This Row],[Source]]</f>
        <v>Unnamed ProjectPartOther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47.4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3</v>
      </c>
      <c r="D26" t="s">
        <v>74</v>
      </c>
      <c r="E26" t="s">
        <v>78</v>
      </c>
      <c r="F26" t="s">
        <v>76</v>
      </c>
      <c r="G26">
        <v>13.910218425487299</v>
      </c>
      <c r="H26">
        <v>2E+20</v>
      </c>
      <c r="I26">
        <v>6.9784859803432298</v>
      </c>
      <c r="J26">
        <v>21.151044799263602</v>
      </c>
      <c r="K26">
        <v>53</v>
      </c>
      <c r="L26" t="str">
        <f>DiscreteStatsTable[[#This Row],[ProjectName]]&amp;DiscreteStatsTable[[#This Row],[Name]]&amp;DiscreteStatsTable[[#This Row],[Type]]&amp;DiscreteStatsTable[[#This Row],[Source]]</f>
        <v>Unnamed ProjectPartTotal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14.223596737888618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3.6654075168137346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4.551204552373072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7.9720693050974898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16.765565222916401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0.141997087986383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31.158637767883899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47.4</v>
      </c>
      <c r="W26">
        <f>IF((DiscreteStatsTable[[#This Row],[RepsRequested]]&gt;1),DiscreteStatsTable[[#This Row],[HalfWidth]],DiscreteStatsTable[[#This Row],[BatchMeansHalfWidth]])</f>
        <v>4.551204552373072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3</v>
      </c>
      <c r="D27" t="s">
        <v>74</v>
      </c>
      <c r="E27" t="s">
        <v>79</v>
      </c>
      <c r="F27" t="s">
        <v>76</v>
      </c>
      <c r="G27">
        <v>0</v>
      </c>
      <c r="H27">
        <v>2E+20</v>
      </c>
      <c r="I27">
        <v>0</v>
      </c>
      <c r="J27">
        <v>0</v>
      </c>
      <c r="K27">
        <v>53</v>
      </c>
      <c r="L27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47.4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3</v>
      </c>
      <c r="D28" t="s">
        <v>74</v>
      </c>
      <c r="E28" t="s">
        <v>80</v>
      </c>
      <c r="F28" t="s">
        <v>76</v>
      </c>
      <c r="G28">
        <v>1.6598029665708101</v>
      </c>
      <c r="H28">
        <v>2E+20</v>
      </c>
      <c r="I28">
        <v>2.0541868668363598E-2</v>
      </c>
      <c r="J28">
        <v>5.3831619296037703</v>
      </c>
      <c r="K28">
        <v>53</v>
      </c>
      <c r="L28" t="str">
        <f>DiscreteStatsTable[[#This Row],[ProjectName]]&amp;DiscreteStatsTable[[#This Row],[Name]]&amp;DiscreteStatsTable[[#This Row],[Type]]&amp;DiscreteStatsTable[[#This Row],[Source]]</f>
        <v>Unnamed ProjectPartVA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1.8030868757142702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8.1916212829404464E-2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0.1017124123394688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1.6598029665708101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1.8565270107326901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6.98393973330269E-3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16.165131141916099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47.4</v>
      </c>
      <c r="W28">
        <f>IF((DiscreteStatsTable[[#This Row],[RepsRequested]]&gt;1),DiscreteStatsTable[[#This Row],[HalfWidth]],DiscreteStatsTable[[#This Row],[BatchMeansHalfWidth]])</f>
        <v>0.1017124123394688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3</v>
      </c>
      <c r="D29" t="s">
        <v>74</v>
      </c>
      <c r="E29" t="s">
        <v>81</v>
      </c>
      <c r="F29" t="s">
        <v>76</v>
      </c>
      <c r="G29">
        <v>12.2504154589165</v>
      </c>
      <c r="H29">
        <v>2E+20</v>
      </c>
      <c r="I29">
        <v>4.2488086812222399</v>
      </c>
      <c r="J29">
        <v>18.9328907134432</v>
      </c>
      <c r="K29">
        <v>53</v>
      </c>
      <c r="L29" t="str">
        <f>DiscreteStatsTable[[#This Row],[ProjectName]]&amp;DiscreteStatsTable[[#This Row],[Name]]&amp;DiscreteStatsTable[[#This Row],[Type]]&amp;DiscreteStatsTable[[#This Row],[Source]]</f>
        <v>Unnamed ProjectPartWait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12.420509862174329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3.6702420494312862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4.5572074174724273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6.1212808737420499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14.953480252228999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28.8675824914977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47.4</v>
      </c>
      <c r="W29">
        <f>IF((DiscreteStatsTable[[#This Row],[RepsRequested]]&gt;1),DiscreteStatsTable[[#This Row],[HalfWidth]],DiscreteStatsTable[[#This Row],[BatchMeansHalfWidth]])</f>
        <v>4.5572074174724273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4</v>
      </c>
      <c r="D30" t="s">
        <v>74</v>
      </c>
      <c r="E30" t="s">
        <v>75</v>
      </c>
      <c r="F30" t="s">
        <v>76</v>
      </c>
      <c r="G30">
        <v>0</v>
      </c>
      <c r="H30">
        <v>2E+20</v>
      </c>
      <c r="I30">
        <v>0</v>
      </c>
      <c r="J30">
        <v>0</v>
      </c>
      <c r="K30">
        <v>48</v>
      </c>
      <c r="L30" t="str">
        <f>DiscreteStatsTable[[#This Row],[ProjectName]]&amp;DiscreteStatsTable[[#This Row],[Name]]&amp;DiscreteStatsTable[[#This Row],[Type]]&amp;DiscreteStatsTable[[#This Row],[Source]]</f>
        <v>Unnamed ProjectPartNVA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47.4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4</v>
      </c>
      <c r="D31" t="s">
        <v>74</v>
      </c>
      <c r="E31" t="s">
        <v>77</v>
      </c>
      <c r="F31" t="s">
        <v>76</v>
      </c>
      <c r="G31">
        <v>0</v>
      </c>
      <c r="H31">
        <v>2E+20</v>
      </c>
      <c r="I31">
        <v>0</v>
      </c>
      <c r="J31">
        <v>0</v>
      </c>
      <c r="K31">
        <v>48</v>
      </c>
      <c r="L31" t="str">
        <f>DiscreteStatsTable[[#This Row],[ProjectName]]&amp;DiscreteStatsTable[[#This Row],[Name]]&amp;DiscreteStatsTable[[#This Row],[Type]]&amp;DiscreteStatsTable[[#This Row],[Source]]</f>
        <v>Unnamed ProjectPartOther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47.4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4</v>
      </c>
      <c r="D32" t="s">
        <v>74</v>
      </c>
      <c r="E32" t="s">
        <v>78</v>
      </c>
      <c r="F32" t="s">
        <v>76</v>
      </c>
      <c r="G32">
        <v>16.174106491874301</v>
      </c>
      <c r="H32">
        <v>2E+20</v>
      </c>
      <c r="I32">
        <v>1.6649753451834901</v>
      </c>
      <c r="J32">
        <v>26.777186408903798</v>
      </c>
      <c r="K32">
        <v>48</v>
      </c>
      <c r="L32" t="str">
        <f>DiscreteStatsTable[[#This Row],[ProjectName]]&amp;DiscreteStatsTable[[#This Row],[Name]]&amp;DiscreteStatsTable[[#This Row],[Type]]&amp;DiscreteStatsTable[[#This Row],[Source]]</f>
        <v>Unnamed ProjectPartTotal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14.223596737888618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3.6654075168137346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4.551204552373072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7.9720693050974898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16.765565222916401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0.141997087986383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31.158637767883899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47.4</v>
      </c>
      <c r="W32">
        <f>IF((DiscreteStatsTable[[#This Row],[RepsRequested]]&gt;1),DiscreteStatsTable[[#This Row],[HalfWidth]],DiscreteStatsTable[[#This Row],[BatchMeansHalfWidth]])</f>
        <v>4.551204552373072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4</v>
      </c>
      <c r="D33" t="s">
        <v>74</v>
      </c>
      <c r="E33" t="s">
        <v>79</v>
      </c>
      <c r="F33" t="s">
        <v>76</v>
      </c>
      <c r="G33">
        <v>0</v>
      </c>
      <c r="H33">
        <v>2E+20</v>
      </c>
      <c r="I33">
        <v>0</v>
      </c>
      <c r="J33">
        <v>0</v>
      </c>
      <c r="K33">
        <v>48</v>
      </c>
      <c r="L33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47.4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4</v>
      </c>
      <c r="D34" t="s">
        <v>74</v>
      </c>
      <c r="E34" t="s">
        <v>80</v>
      </c>
      <c r="F34" t="s">
        <v>76</v>
      </c>
      <c r="G34">
        <v>1.8565270107326901</v>
      </c>
      <c r="H34">
        <v>2E+20</v>
      </c>
      <c r="I34">
        <v>1.9402216171009502E-2</v>
      </c>
      <c r="J34">
        <v>7.0786595258589999</v>
      </c>
      <c r="K34">
        <v>48</v>
      </c>
      <c r="L34" t="str">
        <f>DiscreteStatsTable[[#This Row],[ProjectName]]&amp;DiscreteStatsTable[[#This Row],[Name]]&amp;DiscreteStatsTable[[#This Row],[Type]]&amp;DiscreteStatsTable[[#This Row],[Source]]</f>
        <v>Unnamed ProjectPartVA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1.8030868757142702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8.1916212829404464E-2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0.1017124123394688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1.6598029665708101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1.8565270107326901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6.98393973330269E-3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16.165131141916099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47.4</v>
      </c>
      <c r="W34">
        <f>IF((DiscreteStatsTable[[#This Row],[RepsRequested]]&gt;1),DiscreteStatsTable[[#This Row],[HalfWidth]],DiscreteStatsTable[[#This Row],[BatchMeansHalfWidth]])</f>
        <v>0.1017124123394688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4</v>
      </c>
      <c r="D35" t="s">
        <v>74</v>
      </c>
      <c r="E35" t="s">
        <v>81</v>
      </c>
      <c r="F35" t="s">
        <v>76</v>
      </c>
      <c r="G35">
        <v>14.3175794811416</v>
      </c>
      <c r="H35">
        <v>2E+20</v>
      </c>
      <c r="I35">
        <v>0</v>
      </c>
      <c r="J35">
        <v>25.7317741706823</v>
      </c>
      <c r="K35">
        <v>48</v>
      </c>
      <c r="L35" t="str">
        <f>DiscreteStatsTable[[#This Row],[ProjectName]]&amp;DiscreteStatsTable[[#This Row],[Name]]&amp;DiscreteStatsTable[[#This Row],[Type]]&amp;DiscreteStatsTable[[#This Row],[Source]]</f>
        <v>Unnamed ProjectPartWait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12.420509862174329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3.6702420494312862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4.5572074174724273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6.1212808737420499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14.953480252228999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28.8675824914977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47.4</v>
      </c>
      <c r="W35">
        <f>IF((DiscreteStatsTable[[#This Row],[RepsRequested]]&gt;1),DiscreteStatsTable[[#This Row],[HalfWidth]],DiscreteStatsTable[[#This Row],[BatchMeansHalfWidth]])</f>
        <v>4.5572074174724273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5</v>
      </c>
      <c r="D36" t="s">
        <v>74</v>
      </c>
      <c r="E36" t="s">
        <v>75</v>
      </c>
      <c r="F36" t="s">
        <v>76</v>
      </c>
      <c r="G36">
        <v>0</v>
      </c>
      <c r="H36">
        <v>2E+20</v>
      </c>
      <c r="I36">
        <v>0</v>
      </c>
      <c r="J36">
        <v>0</v>
      </c>
      <c r="K36">
        <v>49</v>
      </c>
      <c r="L36" t="str">
        <f>DiscreteStatsTable[[#This Row],[ProjectName]]&amp;DiscreteStatsTable[[#This Row],[Name]]&amp;DiscreteStatsTable[[#This Row],[Type]]&amp;DiscreteStatsTable[[#This Row],[Source]]</f>
        <v>Unnamed ProjectPartNVA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47.4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69</v>
      </c>
      <c r="C37">
        <v>5</v>
      </c>
      <c r="D37" t="s">
        <v>74</v>
      </c>
      <c r="E37" t="s">
        <v>77</v>
      </c>
      <c r="F37" t="s">
        <v>76</v>
      </c>
      <c r="G37">
        <v>0</v>
      </c>
      <c r="H37">
        <v>2E+20</v>
      </c>
      <c r="I37">
        <v>0</v>
      </c>
      <c r="J37">
        <v>0</v>
      </c>
      <c r="K37">
        <v>49</v>
      </c>
      <c r="L37" t="str">
        <f>DiscreteStatsTable[[#This Row],[ProjectName]]&amp;DiscreteStatsTable[[#This Row],[Name]]&amp;DiscreteStatsTable[[#This Row],[Type]]&amp;DiscreteStatsTable[[#This Row],[Source]]</f>
        <v>Unnamed ProjectPartOther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47.4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69</v>
      </c>
      <c r="C38">
        <v>5</v>
      </c>
      <c r="D38" t="s">
        <v>74</v>
      </c>
      <c r="E38" t="s">
        <v>78</v>
      </c>
      <c r="F38" t="s">
        <v>76</v>
      </c>
      <c r="G38">
        <v>16.765565222916401</v>
      </c>
      <c r="H38">
        <v>2E+20</v>
      </c>
      <c r="I38">
        <v>4.1949565211523003</v>
      </c>
      <c r="J38">
        <v>31.1115743072219</v>
      </c>
      <c r="K38">
        <v>49</v>
      </c>
      <c r="L38" t="str">
        <f>DiscreteStatsTable[[#This Row],[ProjectName]]&amp;DiscreteStatsTable[[#This Row],[Name]]&amp;DiscreteStatsTable[[#This Row],[Type]]&amp;DiscreteStatsTable[[#This Row],[Source]]</f>
        <v>Unnamed ProjectPartTotal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14.223596737888618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3.6654075168137346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4.551204552373072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7.9720693050974898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16.765565222916401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0.141997087986383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31.158637767883899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47.4</v>
      </c>
      <c r="W38">
        <f>IF((DiscreteStatsTable[[#This Row],[RepsRequested]]&gt;1),DiscreteStatsTable[[#This Row],[HalfWidth]],DiscreteStatsTable[[#This Row],[BatchMeansHalfWidth]])</f>
        <v>4.551204552373072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69</v>
      </c>
      <c r="C39">
        <v>5</v>
      </c>
      <c r="D39" t="s">
        <v>74</v>
      </c>
      <c r="E39" t="s">
        <v>79</v>
      </c>
      <c r="F39" t="s">
        <v>76</v>
      </c>
      <c r="G39">
        <v>0</v>
      </c>
      <c r="H39">
        <v>2E+20</v>
      </c>
      <c r="I39">
        <v>0</v>
      </c>
      <c r="J39">
        <v>0</v>
      </c>
      <c r="K39">
        <v>49</v>
      </c>
      <c r="L39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47.4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69</v>
      </c>
      <c r="C40">
        <v>5</v>
      </c>
      <c r="D40" t="s">
        <v>74</v>
      </c>
      <c r="E40" t="s">
        <v>80</v>
      </c>
      <c r="F40" t="s">
        <v>76</v>
      </c>
      <c r="G40">
        <v>1.8120849706873401</v>
      </c>
      <c r="H40">
        <v>2E+20</v>
      </c>
      <c r="I40">
        <v>1.4599986725791299E-2</v>
      </c>
      <c r="J40">
        <v>8.5048891045152502</v>
      </c>
      <c r="K40">
        <v>49</v>
      </c>
      <c r="L40" t="str">
        <f>DiscreteStatsTable[[#This Row],[ProjectName]]&amp;DiscreteStatsTable[[#This Row],[Name]]&amp;DiscreteStatsTable[[#This Row],[Type]]&amp;DiscreteStatsTable[[#This Row],[Source]]</f>
        <v>Unnamed ProjectPartVA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1.8030868757142702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8.1916212829404464E-2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0.1017124123394688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1.6598029665708101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1.8565270107326901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6.98393973330269E-3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16.165131141916099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47.4</v>
      </c>
      <c r="W40">
        <f>IF((DiscreteStatsTable[[#This Row],[RepsRequested]]&gt;1),DiscreteStatsTable[[#This Row],[HalfWidth]],DiscreteStatsTable[[#This Row],[BatchMeansHalfWidth]])</f>
        <v>0.1017124123394688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69</v>
      </c>
      <c r="C41">
        <v>5</v>
      </c>
      <c r="D41" t="s">
        <v>74</v>
      </c>
      <c r="E41" t="s">
        <v>81</v>
      </c>
      <c r="F41" t="s">
        <v>76</v>
      </c>
      <c r="G41">
        <v>14.953480252228999</v>
      </c>
      <c r="H41">
        <v>2E+20</v>
      </c>
      <c r="I41">
        <v>3.1709058907285601</v>
      </c>
      <c r="J41">
        <v>25.265515272205601</v>
      </c>
      <c r="K41">
        <v>49</v>
      </c>
      <c r="L41" t="str">
        <f>DiscreteStatsTable[[#This Row],[ProjectName]]&amp;DiscreteStatsTable[[#This Row],[Name]]&amp;DiscreteStatsTable[[#This Row],[Type]]&amp;DiscreteStatsTable[[#This Row],[Source]]</f>
        <v>Unnamed ProjectPartWait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12.420509862174329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3.6702420494312862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4.5572074174724273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6.1212808737420499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14.953480252228999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28.8675824914977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47.4</v>
      </c>
      <c r="W41">
        <f>IF((DiscreteStatsTable[[#This Row],[RepsRequested]]&gt;1),DiscreteStatsTable[[#This Row],[HalfWidth]],DiscreteStatsTable[[#This Row],[BatchMeansHalfWidth]])</f>
        <v>4.5572074174724273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</v>
      </c>
      <c r="Y41">
        <f>IF(DiscreteStatsTable[[#This Row],[RepsRequested]]=DiscreteStatsTable[[#This Row],[RepsWithStatObserved]],1,0)</f>
        <v>1</v>
      </c>
    </row>
  </sheetData>
  <phoneticPr fontId="2" type="noConversion"/>
  <conditionalFormatting sqref="H2:H41 Q2:Q41">
    <cfRule type="expression" dxfId="51" priority="23">
      <formula>H2=200000000000000000000</formula>
    </cfRule>
  </conditionalFormatting>
  <conditionalFormatting sqref="H2:H41">
    <cfRule type="expression" dxfId="50" priority="21">
      <formula>H2=300000000000000000000</formula>
    </cfRule>
  </conditionalFormatting>
  <conditionalFormatting sqref="L2:Y41">
    <cfRule type="expression" dxfId="49" priority="19">
      <formula>MOD(ROW(),2)=0</formula>
    </cfRule>
  </conditionalFormatting>
  <conditionalFormatting sqref="Y2:Y41">
    <cfRule type="expression" dxfId="48" priority="14">
      <formula>Y2=0</formula>
    </cfRule>
    <cfRule type="expression" dxfId="47" priority="16">
      <formula>Y2=1</formula>
    </cfRule>
  </conditionalFormatting>
  <conditionalFormatting sqref="Y3:Y41">
    <cfRule type="expression" dxfId="46" priority="15">
      <formula>Y3=1</formula>
    </cfRule>
  </conditionalFormatting>
  <conditionalFormatting sqref="W2:W41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41 W2:W41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31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9.41406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0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82</v>
      </c>
      <c r="F2" t="s">
        <v>72</v>
      </c>
      <c r="G2">
        <v>2.01887931044172</v>
      </c>
      <c r="H2">
        <v>2E+20</v>
      </c>
      <c r="I2">
        <v>0</v>
      </c>
      <c r="J2">
        <v>7</v>
      </c>
      <c r="K2">
        <v>6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4.5983662270938694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1.6824303317732894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2.0890131724489076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2.01887931044172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6.3661179129323102</v>
      </c>
      <c r="U2">
        <f>IF((ContinuousStatsTable[[#This Row],[RepsRequested]]&gt;1),ContinuousStatsTable[[#This Row],[HalfWidth]],ContinuousStatsTable[[#This Row],[BatchMeansHalfWidth]])</f>
        <v>2.0890131724489076</v>
      </c>
    </row>
    <row r="3" spans="1:21" x14ac:dyDescent="0.3">
      <c r="A3" t="s">
        <v>66</v>
      </c>
      <c r="B3" t="s">
        <v>69</v>
      </c>
      <c r="C3">
        <v>1</v>
      </c>
      <c r="D3" t="s">
        <v>73</v>
      </c>
      <c r="E3" t="s">
        <v>82</v>
      </c>
      <c r="F3" t="s">
        <v>72</v>
      </c>
      <c r="G3">
        <v>2.2702786843813199</v>
      </c>
      <c r="H3">
        <v>2E+20</v>
      </c>
      <c r="I3">
        <v>0</v>
      </c>
      <c r="J3">
        <v>8</v>
      </c>
      <c r="K3">
        <v>6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4.6526736545528404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1.5567172376716019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1.9329197494000401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2.2702786843813199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6.1969122233271596</v>
      </c>
      <c r="U3">
        <f>IF((ContinuousStatsTable[[#This Row],[RepsRequested]]&gt;1),ContinuousStatsTable[[#This Row],[HalfWidth]],ContinuousStatsTable[[#This Row],[BatchMeansHalfWidth]])</f>
        <v>1.9329197494000401</v>
      </c>
    </row>
    <row r="4" spans="1:21" x14ac:dyDescent="0.3">
      <c r="A4" t="s">
        <v>66</v>
      </c>
      <c r="B4" t="s">
        <v>69</v>
      </c>
      <c r="C4">
        <v>1</v>
      </c>
      <c r="D4" t="s">
        <v>83</v>
      </c>
      <c r="E4" t="s">
        <v>84</v>
      </c>
      <c r="F4" t="s">
        <v>85</v>
      </c>
      <c r="G4">
        <v>0.84062714634708002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0.84062714634708002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8.5671046831795855E-2</v>
      </c>
    </row>
    <row r="5" spans="1:21" x14ac:dyDescent="0.3">
      <c r="A5" t="s">
        <v>66</v>
      </c>
      <c r="B5" t="s">
        <v>69</v>
      </c>
      <c r="C5">
        <v>1</v>
      </c>
      <c r="D5" t="s">
        <v>83</v>
      </c>
      <c r="E5" t="s">
        <v>86</v>
      </c>
      <c r="F5" t="s">
        <v>85</v>
      </c>
      <c r="G5">
        <v>0.84062714634708002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0.84062714634708002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8.5671046831795855E-2</v>
      </c>
    </row>
    <row r="6" spans="1:21" x14ac:dyDescent="0.3">
      <c r="A6" t="s">
        <v>66</v>
      </c>
      <c r="B6" t="s">
        <v>69</v>
      </c>
      <c r="C6">
        <v>1</v>
      </c>
      <c r="D6" t="s">
        <v>83</v>
      </c>
      <c r="E6" t="s">
        <v>87</v>
      </c>
      <c r="F6" t="s">
        <v>85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">
      <c r="A7" t="s">
        <v>66</v>
      </c>
      <c r="B7" t="s">
        <v>69</v>
      </c>
      <c r="C7">
        <v>1</v>
      </c>
      <c r="D7" t="s">
        <v>74</v>
      </c>
      <c r="E7" t="s">
        <v>88</v>
      </c>
      <c r="F7" t="s">
        <v>76</v>
      </c>
      <c r="G7">
        <v>5.1297851411701201</v>
      </c>
      <c r="H7">
        <v>2E+20</v>
      </c>
      <c r="I7">
        <v>0</v>
      </c>
      <c r="J7">
        <v>16</v>
      </c>
      <c r="K7">
        <v>13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ProjectPartWIPEntity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10.209189093529426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3.2900658049596738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4.085156261739713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5.1297851411701201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13.563030136259499</v>
      </c>
      <c r="U7">
        <f>IF((ContinuousStatsTable[[#This Row],[RepsRequested]]&gt;1),ContinuousStatsTable[[#This Row],[HalfWidth]],ContinuousStatsTable[[#This Row],[BatchMeansHalfWidth]])</f>
        <v>4.085156261739713</v>
      </c>
    </row>
    <row r="8" spans="1:21" x14ac:dyDescent="0.3">
      <c r="A8" t="s">
        <v>66</v>
      </c>
      <c r="B8" t="s">
        <v>69</v>
      </c>
      <c r="C8">
        <v>2</v>
      </c>
      <c r="D8" t="s">
        <v>70</v>
      </c>
      <c r="E8" t="s">
        <v>82</v>
      </c>
      <c r="F8" t="s">
        <v>72</v>
      </c>
      <c r="G8">
        <v>5.5806528553544696</v>
      </c>
      <c r="H8">
        <v>2E+20</v>
      </c>
      <c r="I8">
        <v>0</v>
      </c>
      <c r="J8">
        <v>14</v>
      </c>
      <c r="K8">
        <v>12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4.5983662270938694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1.6824303317732894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2.0890131724489076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2.01887931044172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6.3661179129323102</v>
      </c>
      <c r="U8">
        <f>IF((ContinuousStatsTable[[#This Row],[RepsRequested]]&gt;1),ContinuousStatsTable[[#This Row],[HalfWidth]],ContinuousStatsTable[[#This Row],[BatchMeansHalfWidth]])</f>
        <v>2.0890131724489076</v>
      </c>
    </row>
    <row r="9" spans="1:21" x14ac:dyDescent="0.3">
      <c r="A9" t="s">
        <v>66</v>
      </c>
      <c r="B9" t="s">
        <v>69</v>
      </c>
      <c r="C9">
        <v>2</v>
      </c>
      <c r="D9" t="s">
        <v>73</v>
      </c>
      <c r="E9" t="s">
        <v>82</v>
      </c>
      <c r="F9" t="s">
        <v>72</v>
      </c>
      <c r="G9">
        <v>5.7584304738567198</v>
      </c>
      <c r="H9">
        <v>2E+20</v>
      </c>
      <c r="I9">
        <v>0</v>
      </c>
      <c r="J9">
        <v>13</v>
      </c>
      <c r="K9">
        <v>12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4.6526736545528404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1.5567172376716019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1.9329197494000401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2.2702786843813199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6.1969122233271596</v>
      </c>
      <c r="U9">
        <f>IF((ContinuousStatsTable[[#This Row],[RepsRequested]]&gt;1),ContinuousStatsTable[[#This Row],[HalfWidth]],ContinuousStatsTable[[#This Row],[BatchMeansHalfWidth]])</f>
        <v>1.9329197494000401</v>
      </c>
    </row>
    <row r="10" spans="1:21" x14ac:dyDescent="0.3">
      <c r="A10" t="s">
        <v>66</v>
      </c>
      <c r="B10" t="s">
        <v>69</v>
      </c>
      <c r="C10">
        <v>2</v>
      </c>
      <c r="D10" t="s">
        <v>83</v>
      </c>
      <c r="E10" t="s">
        <v>84</v>
      </c>
      <c r="F10" t="s">
        <v>85</v>
      </c>
      <c r="G10">
        <v>0.95101783757098701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0.84062714634708002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8.5671046831795855E-2</v>
      </c>
    </row>
    <row r="11" spans="1:21" x14ac:dyDescent="0.3">
      <c r="A11" t="s">
        <v>66</v>
      </c>
      <c r="B11" t="s">
        <v>69</v>
      </c>
      <c r="C11">
        <v>2</v>
      </c>
      <c r="D11" t="s">
        <v>83</v>
      </c>
      <c r="E11" t="s">
        <v>86</v>
      </c>
      <c r="F11" t="s">
        <v>85</v>
      </c>
      <c r="G11">
        <v>0.95101783757098701</v>
      </c>
      <c r="H11">
        <v>2E+20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0.84062714634708002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8.5671046831795855E-2</v>
      </c>
    </row>
    <row r="12" spans="1:21" x14ac:dyDescent="0.3">
      <c r="A12" t="s">
        <v>66</v>
      </c>
      <c r="B12" t="s">
        <v>69</v>
      </c>
      <c r="C12">
        <v>2</v>
      </c>
      <c r="D12" t="s">
        <v>83</v>
      </c>
      <c r="E12" t="s">
        <v>87</v>
      </c>
      <c r="F12" t="s">
        <v>85</v>
      </c>
      <c r="G12">
        <v>1</v>
      </c>
      <c r="H12">
        <v>2E+20</v>
      </c>
      <c r="I12">
        <v>1</v>
      </c>
      <c r="J12">
        <v>1</v>
      </c>
      <c r="K12">
        <v>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1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</v>
      </c>
      <c r="U12">
        <f>IF((ContinuousStatsTable[[#This Row],[RepsRequested]]&gt;1),ContinuousStatsTable[[#This Row],[HalfWidth]],ContinuousStatsTable[[#This Row],[BatchMeansHalfWidth]])</f>
        <v>0</v>
      </c>
    </row>
    <row r="13" spans="1:21" x14ac:dyDescent="0.3">
      <c r="A13" t="s">
        <v>66</v>
      </c>
      <c r="B13" t="s">
        <v>69</v>
      </c>
      <c r="C13">
        <v>2</v>
      </c>
      <c r="D13" t="s">
        <v>74</v>
      </c>
      <c r="E13" t="s">
        <v>88</v>
      </c>
      <c r="F13" t="s">
        <v>76</v>
      </c>
      <c r="G13">
        <v>12.2901011667822</v>
      </c>
      <c r="H13">
        <v>2E+20</v>
      </c>
      <c r="I13">
        <v>0</v>
      </c>
      <c r="J13">
        <v>28</v>
      </c>
      <c r="K13">
        <v>25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10.209189093529426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3.2900658049596738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4.085156261739713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5.1297851411701201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13.563030136259499</v>
      </c>
      <c r="U13">
        <f>IF((ContinuousStatsTable[[#This Row],[RepsRequested]]&gt;1),ContinuousStatsTable[[#This Row],[HalfWidth]],ContinuousStatsTable[[#This Row],[BatchMeansHalfWidth]])</f>
        <v>4.085156261739713</v>
      </c>
    </row>
    <row r="14" spans="1:21" x14ac:dyDescent="0.3">
      <c r="A14" t="s">
        <v>66</v>
      </c>
      <c r="B14" t="s">
        <v>69</v>
      </c>
      <c r="C14">
        <v>3</v>
      </c>
      <c r="D14" t="s">
        <v>70</v>
      </c>
      <c r="E14" t="s">
        <v>82</v>
      </c>
      <c r="F14" t="s">
        <v>72</v>
      </c>
      <c r="G14">
        <v>3.9819796174140998</v>
      </c>
      <c r="H14">
        <v>2E+20</v>
      </c>
      <c r="I14">
        <v>1</v>
      </c>
      <c r="J14">
        <v>7</v>
      </c>
      <c r="K14">
        <v>5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4.5983662270938694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1.6824303317732894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2.0890131724489076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2.01887931044172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6.3661179129323102</v>
      </c>
      <c r="U14">
        <f>IF((ContinuousStatsTable[[#This Row],[RepsRequested]]&gt;1),ContinuousStatsTable[[#This Row],[HalfWidth]],ContinuousStatsTable[[#This Row],[BatchMeansHalfWidth]])</f>
        <v>2.0890131724489076</v>
      </c>
    </row>
    <row r="15" spans="1:21" x14ac:dyDescent="0.3">
      <c r="A15" t="s">
        <v>66</v>
      </c>
      <c r="B15" t="s">
        <v>69</v>
      </c>
      <c r="C15">
        <v>3</v>
      </c>
      <c r="D15" t="s">
        <v>73</v>
      </c>
      <c r="E15" t="s">
        <v>82</v>
      </c>
      <c r="F15" t="s">
        <v>72</v>
      </c>
      <c r="G15">
        <v>4.0861538217101199</v>
      </c>
      <c r="H15">
        <v>2E+20</v>
      </c>
      <c r="I15">
        <v>0</v>
      </c>
      <c r="J15">
        <v>7</v>
      </c>
      <c r="K15">
        <v>4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4.6526736545528404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1.5567172376716019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1.9329197494000401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2.2702786843813199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6.1969122233271596</v>
      </c>
      <c r="U15">
        <f>IF((ContinuousStatsTable[[#This Row],[RepsRequested]]&gt;1),ContinuousStatsTable[[#This Row],[HalfWidth]],ContinuousStatsTable[[#This Row],[BatchMeansHalfWidth]])</f>
        <v>1.9329197494000401</v>
      </c>
    </row>
    <row r="16" spans="1:21" x14ac:dyDescent="0.3">
      <c r="A16" t="s">
        <v>66</v>
      </c>
      <c r="B16" t="s">
        <v>69</v>
      </c>
      <c r="C16">
        <v>3</v>
      </c>
      <c r="D16" t="s">
        <v>83</v>
      </c>
      <c r="E16" t="s">
        <v>84</v>
      </c>
      <c r="F16" t="s">
        <v>85</v>
      </c>
      <c r="G16">
        <v>1</v>
      </c>
      <c r="H16">
        <v>2E+20</v>
      </c>
      <c r="I16">
        <v>0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0.84062714634708002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>
        <f>IF((ContinuousStatsTable[[#This Row],[RepsRequested]]&gt;1),ContinuousStatsTable[[#This Row],[HalfWidth]],ContinuousStatsTable[[#This Row],[BatchMeansHalfWidth]])</f>
        <v>8.5671046831795855E-2</v>
      </c>
    </row>
    <row r="17" spans="1:21" x14ac:dyDescent="0.3">
      <c r="A17" t="s">
        <v>66</v>
      </c>
      <c r="B17" t="s">
        <v>69</v>
      </c>
      <c r="C17">
        <v>3</v>
      </c>
      <c r="D17" t="s">
        <v>83</v>
      </c>
      <c r="E17" t="s">
        <v>86</v>
      </c>
      <c r="F17" t="s">
        <v>85</v>
      </c>
      <c r="G17">
        <v>1</v>
      </c>
      <c r="H17">
        <v>2E+20</v>
      </c>
      <c r="I17">
        <v>0</v>
      </c>
      <c r="J17">
        <v>1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0.84062714634708002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</v>
      </c>
      <c r="U17">
        <f>IF((ContinuousStatsTable[[#This Row],[RepsRequested]]&gt;1),ContinuousStatsTable[[#This Row],[HalfWidth]],ContinuousStatsTable[[#This Row],[BatchMeansHalfWidth]])</f>
        <v>8.5671046831795855E-2</v>
      </c>
    </row>
    <row r="18" spans="1:21" x14ac:dyDescent="0.3">
      <c r="A18" t="s">
        <v>66</v>
      </c>
      <c r="B18" t="s">
        <v>69</v>
      </c>
      <c r="C18">
        <v>3</v>
      </c>
      <c r="D18" t="s">
        <v>83</v>
      </c>
      <c r="E18" t="s">
        <v>87</v>
      </c>
      <c r="F18" t="s">
        <v>85</v>
      </c>
      <c r="G18">
        <v>1</v>
      </c>
      <c r="H18">
        <v>2E+20</v>
      </c>
      <c r="I18">
        <v>1</v>
      </c>
      <c r="J18">
        <v>1</v>
      </c>
      <c r="K18">
        <v>1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1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1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1</v>
      </c>
      <c r="U18">
        <f>IF((ContinuousStatsTable[[#This Row],[RepsRequested]]&gt;1),ContinuousStatsTable[[#This Row],[HalfWidth]],ContinuousStatsTable[[#This Row],[BatchMeansHalfWidth]])</f>
        <v>0</v>
      </c>
    </row>
    <row r="19" spans="1:21" x14ac:dyDescent="0.3">
      <c r="A19" t="s">
        <v>66</v>
      </c>
      <c r="B19" t="s">
        <v>69</v>
      </c>
      <c r="C19">
        <v>3</v>
      </c>
      <c r="D19" t="s">
        <v>74</v>
      </c>
      <c r="E19" t="s">
        <v>88</v>
      </c>
      <c r="F19" t="s">
        <v>76</v>
      </c>
      <c r="G19">
        <v>9.0681334391242103</v>
      </c>
      <c r="H19">
        <v>2E+20</v>
      </c>
      <c r="I19">
        <v>3</v>
      </c>
      <c r="J19">
        <v>15</v>
      </c>
      <c r="K19">
        <v>10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10.209189093529426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3.2900658049596738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4.085156261739713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5.1297851411701201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13.563030136259499</v>
      </c>
      <c r="U19">
        <f>IF((ContinuousStatsTable[[#This Row],[RepsRequested]]&gt;1),ContinuousStatsTable[[#This Row],[HalfWidth]],ContinuousStatsTable[[#This Row],[BatchMeansHalfWidth]])</f>
        <v>4.085156261739713</v>
      </c>
    </row>
    <row r="20" spans="1:21" x14ac:dyDescent="0.3">
      <c r="A20" t="s">
        <v>66</v>
      </c>
      <c r="B20" t="s">
        <v>69</v>
      </c>
      <c r="C20">
        <v>4</v>
      </c>
      <c r="D20" t="s">
        <v>70</v>
      </c>
      <c r="E20" t="s">
        <v>82</v>
      </c>
      <c r="F20" t="s">
        <v>72</v>
      </c>
      <c r="G20">
        <v>5.0442014393267502</v>
      </c>
      <c r="H20">
        <v>2E+20</v>
      </c>
      <c r="I20">
        <v>0</v>
      </c>
      <c r="J20">
        <v>10</v>
      </c>
      <c r="K20">
        <v>7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4.5983662270938694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1.6824303317732894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2.0890131724489076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2.01887931044172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6.3661179129323102</v>
      </c>
      <c r="U20">
        <f>IF((ContinuousStatsTable[[#This Row],[RepsRequested]]&gt;1),ContinuousStatsTable[[#This Row],[HalfWidth]],ContinuousStatsTable[[#This Row],[BatchMeansHalfWidth]])</f>
        <v>2.0890131724489076</v>
      </c>
    </row>
    <row r="21" spans="1:21" x14ac:dyDescent="0.3">
      <c r="A21" t="s">
        <v>66</v>
      </c>
      <c r="B21" t="s">
        <v>69</v>
      </c>
      <c r="C21">
        <v>4</v>
      </c>
      <c r="D21" t="s">
        <v>73</v>
      </c>
      <c r="E21" t="s">
        <v>82</v>
      </c>
      <c r="F21" t="s">
        <v>72</v>
      </c>
      <c r="G21">
        <v>4.9515930694888803</v>
      </c>
      <c r="H21">
        <v>2E+20</v>
      </c>
      <c r="I21">
        <v>0</v>
      </c>
      <c r="J21">
        <v>10</v>
      </c>
      <c r="K21">
        <v>7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4.6526736545528404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1.5567172376716019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1.9329197494000401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2.2702786843813199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6.1969122233271596</v>
      </c>
      <c r="U21">
        <f>IF((ContinuousStatsTable[[#This Row],[RepsRequested]]&gt;1),ContinuousStatsTable[[#This Row],[HalfWidth]],ContinuousStatsTable[[#This Row],[BatchMeansHalfWidth]])</f>
        <v>1.9329197494000401</v>
      </c>
    </row>
    <row r="22" spans="1:21" x14ac:dyDescent="0.3">
      <c r="A22" t="s">
        <v>66</v>
      </c>
      <c r="B22" t="s">
        <v>69</v>
      </c>
      <c r="C22">
        <v>4</v>
      </c>
      <c r="D22" t="s">
        <v>83</v>
      </c>
      <c r="E22" t="s">
        <v>84</v>
      </c>
      <c r="F22" t="s">
        <v>85</v>
      </c>
      <c r="G22">
        <v>0.99910107549550098</v>
      </c>
      <c r="H22">
        <v>2E+20</v>
      </c>
      <c r="I22">
        <v>0</v>
      </c>
      <c r="J22">
        <v>1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0.84062714634708002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>
        <f>IF((ContinuousStatsTable[[#This Row],[RepsRequested]]&gt;1),ContinuousStatsTable[[#This Row],[HalfWidth]],ContinuousStatsTable[[#This Row],[BatchMeansHalfWidth]])</f>
        <v>8.5671046831795855E-2</v>
      </c>
    </row>
    <row r="23" spans="1:21" x14ac:dyDescent="0.3">
      <c r="A23" t="s">
        <v>66</v>
      </c>
      <c r="B23" t="s">
        <v>69</v>
      </c>
      <c r="C23">
        <v>4</v>
      </c>
      <c r="D23" t="s">
        <v>83</v>
      </c>
      <c r="E23" t="s">
        <v>86</v>
      </c>
      <c r="F23" t="s">
        <v>85</v>
      </c>
      <c r="G23">
        <v>0.99910107549550098</v>
      </c>
      <c r="H23">
        <v>2E+20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0.84062714634708002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</v>
      </c>
      <c r="U23">
        <f>IF((ContinuousStatsTable[[#This Row],[RepsRequested]]&gt;1),ContinuousStatsTable[[#This Row],[HalfWidth]],ContinuousStatsTable[[#This Row],[BatchMeansHalfWidth]])</f>
        <v>8.5671046831795855E-2</v>
      </c>
    </row>
    <row r="24" spans="1:21" x14ac:dyDescent="0.3">
      <c r="A24" t="s">
        <v>66</v>
      </c>
      <c r="B24" t="s">
        <v>69</v>
      </c>
      <c r="C24">
        <v>4</v>
      </c>
      <c r="D24" t="s">
        <v>83</v>
      </c>
      <c r="E24" t="s">
        <v>87</v>
      </c>
      <c r="F24" t="s">
        <v>85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>
        <f>IF((ContinuousStatsTable[[#This Row],[RepsRequested]]&gt;1),ContinuousStatsTable[[#This Row],[HalfWidth]],ContinuousStatsTable[[#This Row],[BatchMeansHalfWidth]])</f>
        <v>0</v>
      </c>
    </row>
    <row r="25" spans="1:21" x14ac:dyDescent="0.3">
      <c r="A25" t="s">
        <v>66</v>
      </c>
      <c r="B25" t="s">
        <v>69</v>
      </c>
      <c r="C25">
        <v>4</v>
      </c>
      <c r="D25" t="s">
        <v>74</v>
      </c>
      <c r="E25" t="s">
        <v>88</v>
      </c>
      <c r="F25" t="s">
        <v>76</v>
      </c>
      <c r="G25">
        <v>10.9948955843111</v>
      </c>
      <c r="H25">
        <v>2E+20</v>
      </c>
      <c r="I25">
        <v>0</v>
      </c>
      <c r="J25">
        <v>21</v>
      </c>
      <c r="K25">
        <v>15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10.209189093529426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3.2900658049596738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4.085156261739713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5.1297851411701201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13.563030136259499</v>
      </c>
      <c r="U25">
        <f>IF((ContinuousStatsTable[[#This Row],[RepsRequested]]&gt;1),ContinuousStatsTable[[#This Row],[HalfWidth]],ContinuousStatsTable[[#This Row],[BatchMeansHalfWidth]])</f>
        <v>4.085156261739713</v>
      </c>
    </row>
    <row r="26" spans="1:21" x14ac:dyDescent="0.3">
      <c r="A26" t="s">
        <v>66</v>
      </c>
      <c r="B26" t="s">
        <v>69</v>
      </c>
      <c r="C26">
        <v>5</v>
      </c>
      <c r="D26" t="s">
        <v>70</v>
      </c>
      <c r="E26" t="s">
        <v>82</v>
      </c>
      <c r="F26" t="s">
        <v>72</v>
      </c>
      <c r="G26">
        <v>6.3661179129323102</v>
      </c>
      <c r="H26">
        <v>2E+20</v>
      </c>
      <c r="I26">
        <v>1</v>
      </c>
      <c r="J26">
        <v>13</v>
      </c>
      <c r="K26">
        <v>13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4.5983662270938694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1.6824303317732894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2.0890131724489076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2.01887931044172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6.3661179129323102</v>
      </c>
      <c r="U26">
        <f>IF((ContinuousStatsTable[[#This Row],[RepsRequested]]&gt;1),ContinuousStatsTable[[#This Row],[HalfWidth]],ContinuousStatsTable[[#This Row],[BatchMeansHalfWidth]])</f>
        <v>2.0890131724489076</v>
      </c>
    </row>
    <row r="27" spans="1:21" x14ac:dyDescent="0.3">
      <c r="A27" t="s">
        <v>66</v>
      </c>
      <c r="B27" t="s">
        <v>69</v>
      </c>
      <c r="C27">
        <v>5</v>
      </c>
      <c r="D27" t="s">
        <v>73</v>
      </c>
      <c r="E27" t="s">
        <v>82</v>
      </c>
      <c r="F27" t="s">
        <v>72</v>
      </c>
      <c r="G27">
        <v>6.1969122233271596</v>
      </c>
      <c r="H27">
        <v>2E+20</v>
      </c>
      <c r="I27">
        <v>0</v>
      </c>
      <c r="J27">
        <v>13</v>
      </c>
      <c r="K27">
        <v>13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5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4.6526736545528404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1.5567172376716019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1.9329197494000401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2.2702786843813199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6.1969122233271596</v>
      </c>
      <c r="U27">
        <f>IF((ContinuousStatsTable[[#This Row],[RepsRequested]]&gt;1),ContinuousStatsTable[[#This Row],[HalfWidth]],ContinuousStatsTable[[#This Row],[BatchMeansHalfWidth]])</f>
        <v>1.9329197494000401</v>
      </c>
    </row>
    <row r="28" spans="1:21" x14ac:dyDescent="0.3">
      <c r="A28" t="s">
        <v>66</v>
      </c>
      <c r="B28" t="s">
        <v>69</v>
      </c>
      <c r="C28">
        <v>5</v>
      </c>
      <c r="D28" t="s">
        <v>83</v>
      </c>
      <c r="E28" t="s">
        <v>84</v>
      </c>
      <c r="F28" t="s">
        <v>85</v>
      </c>
      <c r="G28">
        <v>1</v>
      </c>
      <c r="H28">
        <v>2E+20</v>
      </c>
      <c r="I28">
        <v>0</v>
      </c>
      <c r="J28">
        <v>1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ProjectMachineInstantaneous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5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0.84062714634708002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>
        <f>IF((ContinuousStatsTable[[#This Row],[RepsRequested]]&gt;1),ContinuousStatsTable[[#This Row],[HalfWidth]],ContinuousStatsTable[[#This Row],[BatchMeansHalfWidth]])</f>
        <v>8.5671046831795855E-2</v>
      </c>
    </row>
    <row r="29" spans="1:21" x14ac:dyDescent="0.3">
      <c r="A29" t="s">
        <v>66</v>
      </c>
      <c r="B29" t="s">
        <v>69</v>
      </c>
      <c r="C29">
        <v>5</v>
      </c>
      <c r="D29" t="s">
        <v>83</v>
      </c>
      <c r="E29" t="s">
        <v>86</v>
      </c>
      <c r="F29" t="s">
        <v>85</v>
      </c>
      <c r="G29">
        <v>1</v>
      </c>
      <c r="H29">
        <v>2E+20</v>
      </c>
      <c r="I29">
        <v>0</v>
      </c>
      <c r="J29">
        <v>1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ProjectMachineNumber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5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0.95814921188271351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6.8996964521586102E-2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8.5671046831795855E-2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0.84062714634708002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</v>
      </c>
      <c r="U29">
        <f>IF((ContinuousStatsTable[[#This Row],[RepsRequested]]&gt;1),ContinuousStatsTable[[#This Row],[HalfWidth]],ContinuousStatsTable[[#This Row],[BatchMeansHalfWidth]])</f>
        <v>8.5671046831795855E-2</v>
      </c>
    </row>
    <row r="30" spans="1:21" x14ac:dyDescent="0.3">
      <c r="A30" t="s">
        <v>66</v>
      </c>
      <c r="B30" t="s">
        <v>69</v>
      </c>
      <c r="C30">
        <v>5</v>
      </c>
      <c r="D30" t="s">
        <v>83</v>
      </c>
      <c r="E30" t="s">
        <v>87</v>
      </c>
      <c r="F30" t="s">
        <v>85</v>
      </c>
      <c r="G30">
        <v>1</v>
      </c>
      <c r="H30">
        <v>2E+20</v>
      </c>
      <c r="I30">
        <v>1</v>
      </c>
      <c r="J30">
        <v>1</v>
      </c>
      <c r="K30">
        <v>1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ProjectMachineNumber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5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1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1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69</v>
      </c>
      <c r="C31">
        <v>5</v>
      </c>
      <c r="D31" t="s">
        <v>74</v>
      </c>
      <c r="E31" t="s">
        <v>88</v>
      </c>
      <c r="F31" t="s">
        <v>76</v>
      </c>
      <c r="G31">
        <v>13.563030136259499</v>
      </c>
      <c r="H31">
        <v>2E+20</v>
      </c>
      <c r="I31">
        <v>3</v>
      </c>
      <c r="J31">
        <v>27</v>
      </c>
      <c r="K31">
        <v>27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ProjectPartWIPEntity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5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10.209189093529426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3.2900658049596738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4.085156261739713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5.1297851411701201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13.563030136259499</v>
      </c>
      <c r="U31">
        <f>IF((ContinuousStatsTable[[#This Row],[RepsRequested]]&gt;1),ContinuousStatsTable[[#This Row],[HalfWidth]],ContinuousStatsTable[[#This Row],[BatchMeansHalfWidth]])</f>
        <v>4.085156261739713</v>
      </c>
    </row>
  </sheetData>
  <phoneticPr fontId="2" type="noConversion"/>
  <conditionalFormatting sqref="H2:H31">
    <cfRule type="expression" dxfId="28" priority="9">
      <formula>H2=200000000000000000000</formula>
    </cfRule>
  </conditionalFormatting>
  <conditionalFormatting sqref="H2:H31">
    <cfRule type="expression" dxfId="27" priority="7">
      <formula>H2=300000000000000000000</formula>
    </cfRule>
  </conditionalFormatting>
  <conditionalFormatting sqref="M2:U31">
    <cfRule type="expression" dxfId="26" priority="5">
      <formula>MOD(ROW(),2)=0</formula>
    </cfRule>
  </conditionalFormatting>
  <conditionalFormatting sqref="U2:U31">
    <cfRule type="expression" dxfId="25" priority="3">
      <formula>U2=200000000000000000000</formula>
    </cfRule>
    <cfRule type="expression" dxfId="24" priority="4">
      <formula>U2=300000000000000000000</formula>
    </cfRule>
  </conditionalFormatting>
  <conditionalFormatting sqref="R2:R31 U2:U31">
    <cfRule type="expression" dxfId="2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3" priority="2">
      <formula>MOD(ROW(),2)=0</formula>
    </cfRule>
  </conditionalFormatting>
  <conditionalFormatting sqref="M2">
    <cfRule type="expression" dxfId="12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5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65.5820312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5" width="12.332031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89</v>
      </c>
      <c r="E2" t="s">
        <v>90</v>
      </c>
      <c r="F2" t="s">
        <v>85</v>
      </c>
      <c r="G2">
        <v>41</v>
      </c>
      <c r="H2">
        <v>0</v>
      </c>
      <c r="I2" t="str">
        <f>OutputTable[[#This Row],[ProjectName]]&amp;OutputTable[[#This Row],[Name]]&amp;OutputTable[[#This Row],[Type]]&amp;OutputTable[[#This Row],[Source]]</f>
        <v>Unnamed ProjectMachine.NumberSeizedTotal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47.6</v>
      </c>
      <c r="L2" cm="1">
        <f t="array" ref="L2">IFERROR(_xlfn.STDEV.S(IF((OutputTable[GroupByKey]=OutputTable[[#This Row],[GroupByKey]]),(OutputTable[GroupByKey]=OutputTable[[#This Row],[GroupByKey]])*OutputTable[RecordedValue])),0)</f>
        <v>4.3358966777357599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5.3837268046758009</v>
      </c>
      <c r="O2" cm="1">
        <f t="array" ref="O2">MIN(IF((OutputTable[GroupByKey]=OutputTable[[#This Row],[GroupByKey]]),(OutputTable[GroupByKey]=OutputTable[[#This Row],[GroupByKey]])*OutputTable[RecordedValue]))</f>
        <v>41</v>
      </c>
      <c r="P2" cm="1">
        <f t="array" ref="P2">MAX(IF((OutputTable[GroupByKey]=OutputTable[[#This Row],[GroupByKey]]),(OutputTable[GroupByKey]=OutputTable[[#This Row],[GroupByKey]])*OutputTable[RecordedValue]))</f>
        <v>53</v>
      </c>
    </row>
    <row r="3" spans="1:16" x14ac:dyDescent="0.3">
      <c r="A3" t="s">
        <v>66</v>
      </c>
      <c r="B3" t="s">
        <v>69</v>
      </c>
      <c r="C3">
        <v>1</v>
      </c>
      <c r="D3" t="s">
        <v>91</v>
      </c>
      <c r="E3" t="s">
        <v>92</v>
      </c>
      <c r="F3" t="s">
        <v>85</v>
      </c>
      <c r="G3">
        <v>0.84062714634708002</v>
      </c>
      <c r="H3">
        <v>0</v>
      </c>
      <c r="I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0.95814921188271351</v>
      </c>
      <c r="L3" cm="1">
        <f t="array" ref="L3">IFERROR(_xlfn.STDEV.S(IF((OutputTable[GroupByKey]=OutputTable[[#This Row],[GroupByKey]]),(OutputTable[GroupByKey]=OutputTable[[#This Row],[GroupByKey]])*OutputTable[RecordedValue])),0)</f>
        <v>6.8996964521586102E-2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8.5671046831795855E-2</v>
      </c>
      <c r="O3" cm="1">
        <f t="array" ref="O3">MIN(IF((OutputTable[GroupByKey]=OutputTable[[#This Row],[GroupByKey]]),(OutputTable[GroupByKey]=OutputTable[[#This Row],[GroupByKey]])*OutputTable[RecordedValue]))</f>
        <v>0.84062714634708002</v>
      </c>
      <c r="P3" cm="1">
        <f t="array" ref="P3">MAX(IF((OutputTable[GroupByKey]=OutputTable[[#This Row],[GroupByKey]]),(OutputTable[GroupByKey]=OutputTable[[#This Row],[GroupByKey]])*OutputTable[RecordedValue]))</f>
        <v>1</v>
      </c>
    </row>
    <row r="4" spans="1:16" x14ac:dyDescent="0.3">
      <c r="A4" t="s">
        <v>66</v>
      </c>
      <c r="B4" t="s">
        <v>69</v>
      </c>
      <c r="C4">
        <v>1</v>
      </c>
      <c r="D4" t="s">
        <v>93</v>
      </c>
      <c r="E4" t="s">
        <v>94</v>
      </c>
      <c r="F4" t="s">
        <v>76</v>
      </c>
      <c r="G4">
        <v>53</v>
      </c>
      <c r="H4">
        <v>0</v>
      </c>
      <c r="I4" t="str">
        <f>OutputTable[[#This Row],[ProjectName]]&amp;OutputTable[[#This Row],[Name]]&amp;OutputTable[[#This Row],[Type]]&amp;OutputTable[[#This Row],[Source]]</f>
        <v>Unnamed ProjectPart.NumberInNumber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63.2</v>
      </c>
      <c r="L4" cm="1">
        <f t="array" ref="L4">IFERROR(_xlfn.STDEV.S(IF((OutputTable[GroupByKey]=OutputTable[[#This Row],[GroupByKey]]),(OutputTable[GroupByKey]=OutputTable[[#This Row],[GroupByKey]])*OutputTable[RecordedValue])),0)</f>
        <v>8.105553651663767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10.064374154779951</v>
      </c>
      <c r="O4" cm="1">
        <f t="array" ref="O4">MIN(IF((OutputTable[GroupByKey]=OutputTable[[#This Row],[GroupByKey]]),(OutputTable[GroupByKey]=OutputTable[[#This Row],[GroupByKey]])*OutputTable[RecordedValue]))</f>
        <v>53</v>
      </c>
      <c r="P4" cm="1">
        <f t="array" ref="P4">MAX(IF((OutputTable[GroupByKey]=OutputTable[[#This Row],[GroupByKey]]),(OutputTable[GroupByKey]=OutputTable[[#This Row],[GroupByKey]])*OutputTable[RecordedValue]))</f>
        <v>72</v>
      </c>
    </row>
    <row r="5" spans="1:16" x14ac:dyDescent="0.3">
      <c r="A5" t="s">
        <v>66</v>
      </c>
      <c r="B5" t="s">
        <v>69</v>
      </c>
      <c r="C5">
        <v>1</v>
      </c>
      <c r="D5" t="s">
        <v>95</v>
      </c>
      <c r="E5" t="s">
        <v>96</v>
      </c>
      <c r="F5" t="s">
        <v>76</v>
      </c>
      <c r="G5">
        <v>40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47.4</v>
      </c>
      <c r="L5" cm="1">
        <f t="array" ref="L5">IFERROR(_xlfn.STDEV.S(IF((OutputTable[GroupByKey]=OutputTable[[#This Row],[GroupByKey]]),(OutputTable[GroupByKey]=OutputTable[[#This Row],[GroupByKey]])*OutputTable[RecordedValue])),0)</f>
        <v>4.7222875812470377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5" cm="1">
        <f t="array" ref="O5">MIN(IF((OutputTable[GroupByKey]=OutputTable[[#This Row],[GroupByKey]]),(OutputTable[GroupByKey]=OutputTable[[#This Row],[GroupByKey]])*OutputTable[RecordedValue]))</f>
        <v>40</v>
      </c>
      <c r="P5" cm="1">
        <f t="array" ref="P5">MAX(IF((OutputTable[GroupByKey]=OutputTable[[#This Row],[GroupByKey]]),(OutputTable[GroupByKey]=OutputTable[[#This Row],[GroupByKey]])*OutputTable[RecordedValue]))</f>
        <v>53</v>
      </c>
    </row>
    <row r="6" spans="1:16" x14ac:dyDescent="0.3">
      <c r="A6" t="s">
        <v>66</v>
      </c>
      <c r="B6" t="s">
        <v>69</v>
      </c>
      <c r="C6">
        <v>1</v>
      </c>
      <c r="D6" t="s">
        <v>97</v>
      </c>
      <c r="E6" t="s">
        <v>96</v>
      </c>
      <c r="F6" t="s">
        <v>98</v>
      </c>
      <c r="G6">
        <v>40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47.4</v>
      </c>
      <c r="L6" cm="1">
        <f t="array" ref="L6">IFERROR(_xlfn.STDEV.S(IF((OutputTable[GroupByKey]=OutputTable[[#This Row],[GroupByKey]]),(OutputTable[GroupByKey]=OutputTable[[#This Row],[GroupByKey]])*OutputTable[RecordedValue])),0)</f>
        <v>4.7222875812470377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6" cm="1">
        <f t="array" ref="O6">MIN(IF((OutputTable[GroupByKey]=OutputTable[[#This Row],[GroupByKey]]),(OutputTable[GroupByKey]=OutputTable[[#This Row],[GroupByKey]])*OutputTable[RecordedValue]))</f>
        <v>40</v>
      </c>
      <c r="P6" cm="1">
        <f t="array" ref="P6">MAX(IF((OutputTable[GroupByKey]=OutputTable[[#This Row],[GroupByKey]]),(OutputTable[GroupByKey]=OutputTable[[#This Row],[GroupByKey]])*OutputTable[RecordedValue]))</f>
        <v>53</v>
      </c>
    </row>
    <row r="7" spans="1:16" x14ac:dyDescent="0.3">
      <c r="A7" t="s">
        <v>66</v>
      </c>
      <c r="B7" t="s">
        <v>69</v>
      </c>
      <c r="C7">
        <v>2</v>
      </c>
      <c r="D7" t="s">
        <v>89</v>
      </c>
      <c r="E7" t="s">
        <v>90</v>
      </c>
      <c r="F7" t="s">
        <v>85</v>
      </c>
      <c r="G7">
        <v>47</v>
      </c>
      <c r="H7">
        <v>0</v>
      </c>
      <c r="I7" t="str">
        <f>OutputTable[[#This Row],[ProjectName]]&amp;OutputTable[[#This Row],[Name]]&amp;OutputTable[[#This Row],[Type]]&amp;OutputTable[[#This Row],[Source]]</f>
        <v>Unnamed ProjectMachine.NumberSeizedTotal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47.6</v>
      </c>
      <c r="L7" cm="1">
        <f t="array" ref="L7">IFERROR(_xlfn.STDEV.S(IF((OutputTable[GroupByKey]=OutputTable[[#This Row],[GroupByKey]]),(OutputTable[GroupByKey]=OutputTable[[#This Row],[GroupByKey]])*OutputTable[RecordedValue])),0)</f>
        <v>4.3358966777357599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5.3837268046758009</v>
      </c>
      <c r="O7" cm="1">
        <f t="array" ref="O7">MIN(IF((OutputTable[GroupByKey]=OutputTable[[#This Row],[GroupByKey]]),(OutputTable[GroupByKey]=OutputTable[[#This Row],[GroupByKey]])*OutputTable[RecordedValue]))</f>
        <v>41</v>
      </c>
      <c r="P7" cm="1">
        <f t="array" ref="P7">MAX(IF((OutputTable[GroupByKey]=OutputTable[[#This Row],[GroupByKey]]),(OutputTable[GroupByKey]=OutputTable[[#This Row],[GroupByKey]])*OutputTable[RecordedValue]))</f>
        <v>53</v>
      </c>
    </row>
    <row r="8" spans="1:16" x14ac:dyDescent="0.3">
      <c r="A8" t="s">
        <v>66</v>
      </c>
      <c r="B8" t="s">
        <v>69</v>
      </c>
      <c r="C8">
        <v>2</v>
      </c>
      <c r="D8" t="s">
        <v>91</v>
      </c>
      <c r="E8" t="s">
        <v>92</v>
      </c>
      <c r="F8" t="s">
        <v>85</v>
      </c>
      <c r="G8">
        <v>0.95101783757098701</v>
      </c>
      <c r="H8">
        <v>0</v>
      </c>
      <c r="I8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0.95814921188271351</v>
      </c>
      <c r="L8" cm="1">
        <f t="array" ref="L8">IFERROR(_xlfn.STDEV.S(IF((OutputTable[GroupByKey]=OutputTable[[#This Row],[GroupByKey]]),(OutputTable[GroupByKey]=OutputTable[[#This Row],[GroupByKey]])*OutputTable[RecordedValue])),0)</f>
        <v>6.8996964521586102E-2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8.5671046831795855E-2</v>
      </c>
      <c r="O8" cm="1">
        <f t="array" ref="O8">MIN(IF((OutputTable[GroupByKey]=OutputTable[[#This Row],[GroupByKey]]),(OutputTable[GroupByKey]=OutputTable[[#This Row],[GroupByKey]])*OutputTable[RecordedValue]))</f>
        <v>0.84062714634708002</v>
      </c>
      <c r="P8" cm="1">
        <f t="array" ref="P8">MAX(IF((OutputTable[GroupByKey]=OutputTable[[#This Row],[GroupByKey]]),(OutputTable[GroupByKey]=OutputTable[[#This Row],[GroupByKey]])*OutputTable[RecordedValue]))</f>
        <v>1</v>
      </c>
    </row>
    <row r="9" spans="1:16" x14ac:dyDescent="0.3">
      <c r="A9" t="s">
        <v>66</v>
      </c>
      <c r="B9" t="s">
        <v>69</v>
      </c>
      <c r="C9">
        <v>2</v>
      </c>
      <c r="D9" t="s">
        <v>93</v>
      </c>
      <c r="E9" t="s">
        <v>94</v>
      </c>
      <c r="F9" t="s">
        <v>76</v>
      </c>
      <c r="G9">
        <v>71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63.2</v>
      </c>
      <c r="L9" cm="1">
        <f t="array" ref="L9">IFERROR(_xlfn.STDEV.S(IF((OutputTable[GroupByKey]=OutputTable[[#This Row],[GroupByKey]]),(OutputTable[GroupByKey]=OutputTable[[#This Row],[GroupByKey]])*OutputTable[RecordedValue])),0)</f>
        <v>8.105553651663767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10.064374154779951</v>
      </c>
      <c r="O9" cm="1">
        <f t="array" ref="O9">MIN(IF((OutputTable[GroupByKey]=OutputTable[[#This Row],[GroupByKey]]),(OutputTable[GroupByKey]=OutputTable[[#This Row],[GroupByKey]])*OutputTable[RecordedValue]))</f>
        <v>53</v>
      </c>
      <c r="P9" cm="1">
        <f t="array" ref="P9">MAX(IF((OutputTable[GroupByKey]=OutputTable[[#This Row],[GroupByKey]]),(OutputTable[GroupByKey]=OutputTable[[#This Row],[GroupByKey]])*OutputTable[RecordedValue]))</f>
        <v>72</v>
      </c>
    </row>
    <row r="10" spans="1:16" x14ac:dyDescent="0.3">
      <c r="A10" t="s">
        <v>66</v>
      </c>
      <c r="B10" t="s">
        <v>69</v>
      </c>
      <c r="C10">
        <v>2</v>
      </c>
      <c r="D10" t="s">
        <v>95</v>
      </c>
      <c r="E10" t="s">
        <v>96</v>
      </c>
      <c r="F10" t="s">
        <v>76</v>
      </c>
      <c r="G10">
        <v>47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ProjectPart.NumberOutNumber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47.4</v>
      </c>
      <c r="L10" cm="1">
        <f t="array" ref="L10">IFERROR(_xlfn.STDEV.S(IF((OutputTable[GroupByKey]=OutputTable[[#This Row],[GroupByKey]]),(OutputTable[GroupByKey]=OutputTable[[#This Row],[GroupByKey]])*OutputTable[RecordedValue])),0)</f>
        <v>4.7222875812470377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10" cm="1">
        <f t="array" ref="O10">MIN(IF((OutputTable[GroupByKey]=OutputTable[[#This Row],[GroupByKey]]),(OutputTable[GroupByKey]=OutputTable[[#This Row],[GroupByKey]])*OutputTable[RecordedValue]))</f>
        <v>40</v>
      </c>
      <c r="P10" cm="1">
        <f t="array" ref="P10">MAX(IF((OutputTable[GroupByKey]=OutputTable[[#This Row],[GroupByKey]]),(OutputTable[GroupByKey]=OutputTable[[#This Row],[GroupByKey]])*OutputTable[RecordedValue]))</f>
        <v>53</v>
      </c>
    </row>
    <row r="11" spans="1:16" x14ac:dyDescent="0.3">
      <c r="A11" t="s">
        <v>66</v>
      </c>
      <c r="B11" t="s">
        <v>69</v>
      </c>
      <c r="C11">
        <v>2</v>
      </c>
      <c r="D11" t="s">
        <v>97</v>
      </c>
      <c r="E11" t="s">
        <v>96</v>
      </c>
      <c r="F11" t="s">
        <v>98</v>
      </c>
      <c r="G11">
        <v>47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47.4</v>
      </c>
      <c r="L11" cm="1">
        <f t="array" ref="L11">IFERROR(_xlfn.STDEV.S(IF((OutputTable[GroupByKey]=OutputTable[[#This Row],[GroupByKey]]),(OutputTable[GroupByKey]=OutputTable[[#This Row],[GroupByKey]])*OutputTable[RecordedValue])),0)</f>
        <v>4.7222875812470377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11" cm="1">
        <f t="array" ref="O11">MIN(IF((OutputTable[GroupByKey]=OutputTable[[#This Row],[GroupByKey]]),(OutputTable[GroupByKey]=OutputTable[[#This Row],[GroupByKey]])*OutputTable[RecordedValue]))</f>
        <v>40</v>
      </c>
      <c r="P11" cm="1">
        <f t="array" ref="P11">MAX(IF((OutputTable[GroupByKey]=OutputTable[[#This Row],[GroupByKey]]),(OutputTable[GroupByKey]=OutputTable[[#This Row],[GroupByKey]])*OutputTable[RecordedValue]))</f>
        <v>53</v>
      </c>
    </row>
    <row r="12" spans="1:16" x14ac:dyDescent="0.3">
      <c r="A12" t="s">
        <v>66</v>
      </c>
      <c r="B12" t="s">
        <v>69</v>
      </c>
      <c r="C12">
        <v>3</v>
      </c>
      <c r="D12" t="s">
        <v>89</v>
      </c>
      <c r="E12" t="s">
        <v>90</v>
      </c>
      <c r="F12" t="s">
        <v>85</v>
      </c>
      <c r="G12">
        <v>53</v>
      </c>
      <c r="H12">
        <v>0</v>
      </c>
      <c r="I12" t="str">
        <f>OutputTable[[#This Row],[ProjectName]]&amp;OutputTable[[#This Row],[Name]]&amp;OutputTable[[#This Row],[Type]]&amp;OutputTable[[#This Row],[Source]]</f>
        <v>Unnamed ProjectMachine.NumberSeizedTotal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47.6</v>
      </c>
      <c r="L12" cm="1">
        <f t="array" ref="L12">IFERROR(_xlfn.STDEV.S(IF((OutputTable[GroupByKey]=OutputTable[[#This Row],[GroupByKey]]),(OutputTable[GroupByKey]=OutputTable[[#This Row],[GroupByKey]])*OutputTable[RecordedValue])),0)</f>
        <v>4.3358966777357599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5.3837268046758009</v>
      </c>
      <c r="O12" cm="1">
        <f t="array" ref="O12">MIN(IF((OutputTable[GroupByKey]=OutputTable[[#This Row],[GroupByKey]]),(OutputTable[GroupByKey]=OutputTable[[#This Row],[GroupByKey]])*OutputTable[RecordedValue]))</f>
        <v>41</v>
      </c>
      <c r="P12" cm="1">
        <f t="array" ref="P12">MAX(IF((OutputTable[GroupByKey]=OutputTable[[#This Row],[GroupByKey]]),(OutputTable[GroupByKey]=OutputTable[[#This Row],[GroupByKey]])*OutputTable[RecordedValue]))</f>
        <v>53</v>
      </c>
    </row>
    <row r="13" spans="1:16" x14ac:dyDescent="0.3">
      <c r="A13" t="s">
        <v>66</v>
      </c>
      <c r="B13" t="s">
        <v>69</v>
      </c>
      <c r="C13">
        <v>3</v>
      </c>
      <c r="D13" t="s">
        <v>91</v>
      </c>
      <c r="E13" t="s">
        <v>92</v>
      </c>
      <c r="F13" t="s">
        <v>85</v>
      </c>
      <c r="G13">
        <v>1</v>
      </c>
      <c r="H13">
        <v>0</v>
      </c>
      <c r="I1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0.95814921188271351</v>
      </c>
      <c r="L13" cm="1">
        <f t="array" ref="L13">IFERROR(_xlfn.STDEV.S(IF((OutputTable[GroupByKey]=OutputTable[[#This Row],[GroupByKey]]),(OutputTable[GroupByKey]=OutputTable[[#This Row],[GroupByKey]])*OutputTable[RecordedValue])),0)</f>
        <v>6.8996964521586102E-2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8.5671046831795855E-2</v>
      </c>
      <c r="O13" cm="1">
        <f t="array" ref="O13">MIN(IF((OutputTable[GroupByKey]=OutputTable[[#This Row],[GroupByKey]]),(OutputTable[GroupByKey]=OutputTable[[#This Row],[GroupByKey]])*OutputTable[RecordedValue]))</f>
        <v>0.84062714634708002</v>
      </c>
      <c r="P13" cm="1">
        <f t="array" ref="P13">MAX(IF((OutputTable[GroupByKey]=OutputTable[[#This Row],[GroupByKey]]),(OutputTable[GroupByKey]=OutputTable[[#This Row],[GroupByKey]])*OutputTable[RecordedValue]))</f>
        <v>1</v>
      </c>
    </row>
    <row r="14" spans="1:16" x14ac:dyDescent="0.3">
      <c r="A14" t="s">
        <v>66</v>
      </c>
      <c r="B14" t="s">
        <v>69</v>
      </c>
      <c r="C14">
        <v>3</v>
      </c>
      <c r="D14" t="s">
        <v>93</v>
      </c>
      <c r="E14" t="s">
        <v>94</v>
      </c>
      <c r="F14" t="s">
        <v>76</v>
      </c>
      <c r="G14">
        <v>60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63.2</v>
      </c>
      <c r="L14" cm="1">
        <f t="array" ref="L14">IFERROR(_xlfn.STDEV.S(IF((OutputTable[GroupByKey]=OutputTable[[#This Row],[GroupByKey]]),(OutputTable[GroupByKey]=OutputTable[[#This Row],[GroupByKey]])*OutputTable[RecordedValue])),0)</f>
        <v>8.105553651663767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10.064374154779951</v>
      </c>
      <c r="O14" cm="1">
        <f t="array" ref="O14">MIN(IF((OutputTable[GroupByKey]=OutputTable[[#This Row],[GroupByKey]]),(OutputTable[GroupByKey]=OutputTable[[#This Row],[GroupByKey]])*OutputTable[RecordedValue]))</f>
        <v>53</v>
      </c>
      <c r="P14" cm="1">
        <f t="array" ref="P14">MAX(IF((OutputTable[GroupByKey]=OutputTable[[#This Row],[GroupByKey]]),(OutputTable[GroupByKey]=OutputTable[[#This Row],[GroupByKey]])*OutputTable[RecordedValue]))</f>
        <v>72</v>
      </c>
    </row>
    <row r="15" spans="1:16" x14ac:dyDescent="0.3">
      <c r="A15" t="s">
        <v>66</v>
      </c>
      <c r="B15" t="s">
        <v>69</v>
      </c>
      <c r="C15">
        <v>3</v>
      </c>
      <c r="D15" t="s">
        <v>95</v>
      </c>
      <c r="E15" t="s">
        <v>96</v>
      </c>
      <c r="F15" t="s">
        <v>76</v>
      </c>
      <c r="G15">
        <v>53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47.4</v>
      </c>
      <c r="L15" cm="1">
        <f t="array" ref="L15">IFERROR(_xlfn.STDEV.S(IF((OutputTable[GroupByKey]=OutputTable[[#This Row],[GroupByKey]]),(OutputTable[GroupByKey]=OutputTable[[#This Row],[GroupByKey]])*OutputTable[RecordedValue])),0)</f>
        <v>4.7222875812470377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15" cm="1">
        <f t="array" ref="O15">MIN(IF((OutputTable[GroupByKey]=OutputTable[[#This Row],[GroupByKey]]),(OutputTable[GroupByKey]=OutputTable[[#This Row],[GroupByKey]])*OutputTable[RecordedValue]))</f>
        <v>40</v>
      </c>
      <c r="P15" cm="1">
        <f t="array" ref="P15">MAX(IF((OutputTable[GroupByKey]=OutputTable[[#This Row],[GroupByKey]]),(OutputTable[GroupByKey]=OutputTable[[#This Row],[GroupByKey]])*OutputTable[RecordedValue]))</f>
        <v>53</v>
      </c>
    </row>
    <row r="16" spans="1:16" x14ac:dyDescent="0.3">
      <c r="A16" t="s">
        <v>66</v>
      </c>
      <c r="B16" t="s">
        <v>69</v>
      </c>
      <c r="C16">
        <v>3</v>
      </c>
      <c r="D16" t="s">
        <v>97</v>
      </c>
      <c r="E16" t="s">
        <v>96</v>
      </c>
      <c r="F16" t="s">
        <v>98</v>
      </c>
      <c r="G16">
        <v>53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47.4</v>
      </c>
      <c r="L16" cm="1">
        <f t="array" ref="L16">IFERROR(_xlfn.STDEV.S(IF((OutputTable[GroupByKey]=OutputTable[[#This Row],[GroupByKey]]),(OutputTable[GroupByKey]=OutputTable[[#This Row],[GroupByKey]])*OutputTable[RecordedValue])),0)</f>
        <v>4.7222875812470377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16" cm="1">
        <f t="array" ref="O16">MIN(IF((OutputTable[GroupByKey]=OutputTable[[#This Row],[GroupByKey]]),(OutputTable[GroupByKey]=OutputTable[[#This Row],[GroupByKey]])*OutputTable[RecordedValue]))</f>
        <v>40</v>
      </c>
      <c r="P16" cm="1">
        <f t="array" ref="P16">MAX(IF((OutputTable[GroupByKey]=OutputTable[[#This Row],[GroupByKey]]),(OutputTable[GroupByKey]=OutputTable[[#This Row],[GroupByKey]])*OutputTable[RecordedValue]))</f>
        <v>53</v>
      </c>
    </row>
    <row r="17" spans="1:16" x14ac:dyDescent="0.3">
      <c r="A17" t="s">
        <v>66</v>
      </c>
      <c r="B17" t="s">
        <v>69</v>
      </c>
      <c r="C17">
        <v>4</v>
      </c>
      <c r="D17" t="s">
        <v>89</v>
      </c>
      <c r="E17" t="s">
        <v>90</v>
      </c>
      <c r="F17" t="s">
        <v>85</v>
      </c>
      <c r="G17">
        <v>48</v>
      </c>
      <c r="H17">
        <v>0</v>
      </c>
      <c r="I17" t="str">
        <f>OutputTable[[#This Row],[ProjectName]]&amp;OutputTable[[#This Row],[Name]]&amp;OutputTable[[#This Row],[Type]]&amp;OutputTable[[#This Row],[Source]]</f>
        <v>Unnamed ProjectMachine.NumberSeizedTotal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47.6</v>
      </c>
      <c r="L17" cm="1">
        <f t="array" ref="L17">IFERROR(_xlfn.STDEV.S(IF((OutputTable[GroupByKey]=OutputTable[[#This Row],[GroupByKey]]),(OutputTable[GroupByKey]=OutputTable[[#This Row],[GroupByKey]])*OutputTable[RecordedValue])),0)</f>
        <v>4.3358966777357599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5.3837268046758009</v>
      </c>
      <c r="O17" cm="1">
        <f t="array" ref="O17">MIN(IF((OutputTable[GroupByKey]=OutputTable[[#This Row],[GroupByKey]]),(OutputTable[GroupByKey]=OutputTable[[#This Row],[GroupByKey]])*OutputTable[RecordedValue]))</f>
        <v>41</v>
      </c>
      <c r="P17" cm="1">
        <f t="array" ref="P17">MAX(IF((OutputTable[GroupByKey]=OutputTable[[#This Row],[GroupByKey]]),(OutputTable[GroupByKey]=OutputTable[[#This Row],[GroupByKey]])*OutputTable[RecordedValue]))</f>
        <v>53</v>
      </c>
    </row>
    <row r="18" spans="1:16" x14ac:dyDescent="0.3">
      <c r="A18" t="s">
        <v>66</v>
      </c>
      <c r="B18" t="s">
        <v>69</v>
      </c>
      <c r="C18">
        <v>4</v>
      </c>
      <c r="D18" t="s">
        <v>91</v>
      </c>
      <c r="E18" t="s">
        <v>92</v>
      </c>
      <c r="F18" t="s">
        <v>85</v>
      </c>
      <c r="G18">
        <v>0.99910107549550098</v>
      </c>
      <c r="H18">
        <v>0</v>
      </c>
      <c r="I18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0.95814921188271351</v>
      </c>
      <c r="L18" cm="1">
        <f t="array" ref="L18">IFERROR(_xlfn.STDEV.S(IF((OutputTable[GroupByKey]=OutputTable[[#This Row],[GroupByKey]]),(OutputTable[GroupByKey]=OutputTable[[#This Row],[GroupByKey]])*OutputTable[RecordedValue])),0)</f>
        <v>6.8996964521586102E-2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8.5671046831795855E-2</v>
      </c>
      <c r="O18" cm="1">
        <f t="array" ref="O18">MIN(IF((OutputTable[GroupByKey]=OutputTable[[#This Row],[GroupByKey]]),(OutputTable[GroupByKey]=OutputTable[[#This Row],[GroupByKey]])*OutputTable[RecordedValue]))</f>
        <v>0.84062714634708002</v>
      </c>
      <c r="P18" cm="1">
        <f t="array" ref="P18">MAX(IF((OutputTable[GroupByKey]=OutputTable[[#This Row],[GroupByKey]]),(OutputTable[GroupByKey]=OutputTable[[#This Row],[GroupByKey]])*OutputTable[RecordedValue]))</f>
        <v>1</v>
      </c>
    </row>
    <row r="19" spans="1:16" x14ac:dyDescent="0.3">
      <c r="A19" t="s">
        <v>66</v>
      </c>
      <c r="B19" t="s">
        <v>69</v>
      </c>
      <c r="C19">
        <v>4</v>
      </c>
      <c r="D19" t="s">
        <v>93</v>
      </c>
      <c r="E19" t="s">
        <v>94</v>
      </c>
      <c r="F19" t="s">
        <v>76</v>
      </c>
      <c r="G19">
        <v>60</v>
      </c>
      <c r="H19">
        <v>0</v>
      </c>
      <c r="I19" t="str">
        <f>OutputTable[[#This Row],[ProjectName]]&amp;OutputTable[[#This Row],[Name]]&amp;OutputTable[[#This Row],[Type]]&amp;OutputTable[[#This Row],[Source]]</f>
        <v>Unnamed ProjectPart.NumberInNumber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63.2</v>
      </c>
      <c r="L19" cm="1">
        <f t="array" ref="L19">IFERROR(_xlfn.STDEV.S(IF((OutputTable[GroupByKey]=OutputTable[[#This Row],[GroupByKey]]),(OutputTable[GroupByKey]=OutputTable[[#This Row],[GroupByKey]])*OutputTable[RecordedValue])),0)</f>
        <v>8.105553651663767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10.064374154779951</v>
      </c>
      <c r="O19" cm="1">
        <f t="array" ref="O19">MIN(IF((OutputTable[GroupByKey]=OutputTable[[#This Row],[GroupByKey]]),(OutputTable[GroupByKey]=OutputTable[[#This Row],[GroupByKey]])*OutputTable[RecordedValue]))</f>
        <v>53</v>
      </c>
      <c r="P19" cm="1">
        <f t="array" ref="P19">MAX(IF((OutputTable[GroupByKey]=OutputTable[[#This Row],[GroupByKey]]),(OutputTable[GroupByKey]=OutputTable[[#This Row],[GroupByKey]])*OutputTable[RecordedValue]))</f>
        <v>72</v>
      </c>
    </row>
    <row r="20" spans="1:16" x14ac:dyDescent="0.3">
      <c r="A20" t="s">
        <v>66</v>
      </c>
      <c r="B20" t="s">
        <v>69</v>
      </c>
      <c r="C20">
        <v>4</v>
      </c>
      <c r="D20" t="s">
        <v>95</v>
      </c>
      <c r="E20" t="s">
        <v>96</v>
      </c>
      <c r="F20" t="s">
        <v>76</v>
      </c>
      <c r="G20">
        <v>48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ProjectPart.NumberOutNumber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47.4</v>
      </c>
      <c r="L20" cm="1">
        <f t="array" ref="L20">IFERROR(_xlfn.STDEV.S(IF((OutputTable[GroupByKey]=OutputTable[[#This Row],[GroupByKey]]),(OutputTable[GroupByKey]=OutputTable[[#This Row],[GroupByKey]])*OutputTable[RecordedValue])),0)</f>
        <v>4.7222875812470377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20" cm="1">
        <f t="array" ref="O20">MIN(IF((OutputTable[GroupByKey]=OutputTable[[#This Row],[GroupByKey]]),(OutputTable[GroupByKey]=OutputTable[[#This Row],[GroupByKey]])*OutputTable[RecordedValue]))</f>
        <v>40</v>
      </c>
      <c r="P20" cm="1">
        <f t="array" ref="P20">MAX(IF((OutputTable[GroupByKey]=OutputTable[[#This Row],[GroupByKey]]),(OutputTable[GroupByKey]=OutputTable[[#This Row],[GroupByKey]])*OutputTable[RecordedValue]))</f>
        <v>53</v>
      </c>
    </row>
    <row r="21" spans="1:16" x14ac:dyDescent="0.3">
      <c r="A21" t="s">
        <v>66</v>
      </c>
      <c r="B21" t="s">
        <v>69</v>
      </c>
      <c r="C21">
        <v>4</v>
      </c>
      <c r="D21" t="s">
        <v>97</v>
      </c>
      <c r="E21" t="s">
        <v>96</v>
      </c>
      <c r="F21" t="s">
        <v>98</v>
      </c>
      <c r="G21">
        <v>48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47.4</v>
      </c>
      <c r="L21" cm="1">
        <f t="array" ref="L21">IFERROR(_xlfn.STDEV.S(IF((OutputTable[GroupByKey]=OutputTable[[#This Row],[GroupByKey]]),(OutputTable[GroupByKey]=OutputTable[[#This Row],[GroupByKey]])*OutputTable[RecordedValue])),0)</f>
        <v>4.7222875812470377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21" cm="1">
        <f t="array" ref="O21">MIN(IF((OutputTable[GroupByKey]=OutputTable[[#This Row],[GroupByKey]]),(OutputTable[GroupByKey]=OutputTable[[#This Row],[GroupByKey]])*OutputTable[RecordedValue]))</f>
        <v>40</v>
      </c>
      <c r="P21" cm="1">
        <f t="array" ref="P21">MAX(IF((OutputTable[GroupByKey]=OutputTable[[#This Row],[GroupByKey]]),(OutputTable[GroupByKey]=OutputTable[[#This Row],[GroupByKey]])*OutputTable[RecordedValue]))</f>
        <v>53</v>
      </c>
    </row>
    <row r="22" spans="1:16" x14ac:dyDescent="0.3">
      <c r="A22" t="s">
        <v>66</v>
      </c>
      <c r="B22" t="s">
        <v>69</v>
      </c>
      <c r="C22">
        <v>5</v>
      </c>
      <c r="D22" t="s">
        <v>89</v>
      </c>
      <c r="E22" t="s">
        <v>90</v>
      </c>
      <c r="F22" t="s">
        <v>85</v>
      </c>
      <c r="G22">
        <v>49</v>
      </c>
      <c r="H22">
        <v>0</v>
      </c>
      <c r="I22" t="str">
        <f>OutputTable[[#This Row],[ProjectName]]&amp;OutputTable[[#This Row],[Name]]&amp;OutputTable[[#This Row],[Type]]&amp;OutputTable[[#This Row],[Source]]</f>
        <v>Unnamed ProjectMachine.NumberSeizedTotal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47.6</v>
      </c>
      <c r="L22" cm="1">
        <f t="array" ref="L22">IFERROR(_xlfn.STDEV.S(IF((OutputTable[GroupByKey]=OutputTable[[#This Row],[GroupByKey]]),(OutputTable[GroupByKey]=OutputTable[[#This Row],[GroupByKey]])*OutputTable[RecordedValue])),0)</f>
        <v>4.3358966777357599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5.3837268046758009</v>
      </c>
      <c r="O22" cm="1">
        <f t="array" ref="O22">MIN(IF((OutputTable[GroupByKey]=OutputTable[[#This Row],[GroupByKey]]),(OutputTable[GroupByKey]=OutputTable[[#This Row],[GroupByKey]])*OutputTable[RecordedValue]))</f>
        <v>41</v>
      </c>
      <c r="P22" cm="1">
        <f t="array" ref="P22">MAX(IF((OutputTable[GroupByKey]=OutputTable[[#This Row],[GroupByKey]]),(OutputTable[GroupByKey]=OutputTable[[#This Row],[GroupByKey]])*OutputTable[RecordedValue]))</f>
        <v>53</v>
      </c>
    </row>
    <row r="23" spans="1:16" x14ac:dyDescent="0.3">
      <c r="A23" t="s">
        <v>66</v>
      </c>
      <c r="B23" t="s">
        <v>69</v>
      </c>
      <c r="C23">
        <v>5</v>
      </c>
      <c r="D23" t="s">
        <v>91</v>
      </c>
      <c r="E23" t="s">
        <v>92</v>
      </c>
      <c r="F23" t="s">
        <v>85</v>
      </c>
      <c r="G23">
        <v>1</v>
      </c>
      <c r="H23">
        <v>0</v>
      </c>
      <c r="I23" t="str">
        <f>OutputTable[[#This Row],[ProjectName]]&amp;OutputTable[[#This Row],[Name]]&amp;OutputTable[[#This Row],[Type]]&amp;OutputTable[[#This Row],[Source]]</f>
        <v>Unnamed ProjectMachine.ScheduledUtilizationScheduled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0.95814921188271351</v>
      </c>
      <c r="L23" cm="1">
        <f t="array" ref="L23">IFERROR(_xlfn.STDEV.S(IF((OutputTable[GroupByKey]=OutputTable[[#This Row],[GroupByKey]]),(OutputTable[GroupByKey]=OutputTable[[#This Row],[GroupByKey]])*OutputTable[RecordedValue])),0)</f>
        <v>6.8996964521586102E-2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8.5671046831795855E-2</v>
      </c>
      <c r="O23" cm="1">
        <f t="array" ref="O23">MIN(IF((OutputTable[GroupByKey]=OutputTable[[#This Row],[GroupByKey]]),(OutputTable[GroupByKey]=OutputTable[[#This Row],[GroupByKey]])*OutputTable[RecordedValue]))</f>
        <v>0.84062714634708002</v>
      </c>
      <c r="P23" cm="1">
        <f t="array" ref="P23">MAX(IF((OutputTable[GroupByKey]=OutputTable[[#This Row],[GroupByKey]]),(OutputTable[GroupByKey]=OutputTable[[#This Row],[GroupByKey]])*OutputTable[RecordedValue]))</f>
        <v>1</v>
      </c>
    </row>
    <row r="24" spans="1:16" x14ac:dyDescent="0.3">
      <c r="A24" t="s">
        <v>66</v>
      </c>
      <c r="B24" t="s">
        <v>69</v>
      </c>
      <c r="C24">
        <v>5</v>
      </c>
      <c r="D24" t="s">
        <v>93</v>
      </c>
      <c r="E24" t="s">
        <v>94</v>
      </c>
      <c r="F24" t="s">
        <v>76</v>
      </c>
      <c r="G24">
        <v>72</v>
      </c>
      <c r="H24">
        <v>0</v>
      </c>
      <c r="I24" t="str">
        <f>OutputTable[[#This Row],[ProjectName]]&amp;OutputTable[[#This Row],[Name]]&amp;OutputTable[[#This Row],[Type]]&amp;OutputTable[[#This Row],[Source]]</f>
        <v>Unnamed ProjectPart.NumberInNumber InEntity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63.2</v>
      </c>
      <c r="L24" cm="1">
        <f t="array" ref="L24">IFERROR(_xlfn.STDEV.S(IF((OutputTable[GroupByKey]=OutputTable[[#This Row],[GroupByKey]]),(OutputTable[GroupByKey]=OutputTable[[#This Row],[GroupByKey]])*OutputTable[RecordedValue])),0)</f>
        <v>8.105553651663767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10.064374154779951</v>
      </c>
      <c r="O24" cm="1">
        <f t="array" ref="O24">MIN(IF((OutputTable[GroupByKey]=OutputTable[[#This Row],[GroupByKey]]),(OutputTable[GroupByKey]=OutputTable[[#This Row],[GroupByKey]])*OutputTable[RecordedValue]))</f>
        <v>53</v>
      </c>
      <c r="P24" cm="1">
        <f t="array" ref="P24">MAX(IF((OutputTable[GroupByKey]=OutputTable[[#This Row],[GroupByKey]]),(OutputTable[GroupByKey]=OutputTable[[#This Row],[GroupByKey]])*OutputTable[RecordedValue]))</f>
        <v>72</v>
      </c>
    </row>
    <row r="25" spans="1:16" x14ac:dyDescent="0.3">
      <c r="A25" t="s">
        <v>66</v>
      </c>
      <c r="B25" t="s">
        <v>69</v>
      </c>
      <c r="C25">
        <v>5</v>
      </c>
      <c r="D25" t="s">
        <v>95</v>
      </c>
      <c r="E25" t="s">
        <v>96</v>
      </c>
      <c r="F25" t="s">
        <v>76</v>
      </c>
      <c r="G25">
        <v>49</v>
      </c>
      <c r="H25">
        <v>0</v>
      </c>
      <c r="I25" t="str">
        <f>OutputTable[[#This Row],[ProjectName]]&amp;OutputTable[[#This Row],[Name]]&amp;OutputTable[[#This Row],[Type]]&amp;OutputTable[[#This Row],[Source]]</f>
        <v>Unnamed ProjectPart.NumberOutNumber OutEntity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47.4</v>
      </c>
      <c r="L25" cm="1">
        <f t="array" ref="L25">IFERROR(_xlfn.STDEV.S(IF((OutputTable[GroupByKey]=OutputTable[[#This Row],[GroupByKey]]),(OutputTable[GroupByKey]=OutputTable[[#This Row],[GroupByKey]])*OutputTable[RecordedValue])),0)</f>
        <v>4.7222875812470377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25" cm="1">
        <f t="array" ref="O25">MIN(IF((OutputTable[GroupByKey]=OutputTable[[#This Row],[GroupByKey]]),(OutputTable[GroupByKey]=OutputTable[[#This Row],[GroupByKey]])*OutputTable[RecordedValue]))</f>
        <v>40</v>
      </c>
      <c r="P25" cm="1">
        <f t="array" ref="P25">MAX(IF((OutputTable[GroupByKey]=OutputTable[[#This Row],[GroupByKey]]),(OutputTable[GroupByKey]=OutputTable[[#This Row],[GroupByKey]])*OutputTable[RecordedValue]))</f>
        <v>53</v>
      </c>
    </row>
    <row r="26" spans="1:16" x14ac:dyDescent="0.3">
      <c r="A26" t="s">
        <v>66</v>
      </c>
      <c r="B26" t="s">
        <v>69</v>
      </c>
      <c r="C26">
        <v>5</v>
      </c>
      <c r="D26" t="s">
        <v>97</v>
      </c>
      <c r="E26" t="s">
        <v>96</v>
      </c>
      <c r="F26" t="s">
        <v>98</v>
      </c>
      <c r="G26">
        <v>49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47.4</v>
      </c>
      <c r="L26" cm="1">
        <f t="array" ref="L26">IFERROR(_xlfn.STDEV.S(IF((OutputTable[GroupByKey]=OutputTable[[#This Row],[GroupByKey]]),(OutputTable[GroupByKey]=OutputTable[[#This Row],[GroupByKey]])*OutputTable[RecordedValue])),0)</f>
        <v>4.7222875812470377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5.8634944787991783</v>
      </c>
      <c r="O26" cm="1">
        <f t="array" ref="O26">MIN(IF((OutputTable[GroupByKey]=OutputTable[[#This Row],[GroupByKey]]),(OutputTable[GroupByKey]=OutputTable[[#This Row],[GroupByKey]])*OutputTable[RecordedValue]))</f>
        <v>40</v>
      </c>
      <c r="P26" cm="1">
        <f t="array" ref="P26">MAX(IF((OutputTable[GroupByKey]=OutputTable[[#This Row],[GroupByKey]]),(OutputTable[GroupByKey]=OutputTable[[#This Row],[GroupByKey]])*OutputTable[RecordedValue]))</f>
        <v>53</v>
      </c>
    </row>
  </sheetData>
  <phoneticPr fontId="2" type="noConversion"/>
  <conditionalFormatting sqref="I2:P26">
    <cfRule type="expression" dxfId="11" priority="2">
      <formula>MOD(ROW(),2)=0</formula>
    </cfRule>
  </conditionalFormatting>
  <conditionalFormatting sqref="N2:N26">
    <cfRule type="expression" dxfId="10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2025-04-28T08:21:52Z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