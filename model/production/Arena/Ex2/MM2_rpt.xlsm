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programming\Data-Science\model\production\Arena\Ex2\"/>
    </mc:Choice>
  </mc:AlternateContent>
  <xr:revisionPtr revIDLastSave="0" documentId="13_ncr:1_{B07656AD-3C80-4902-999E-880FA3D9259A}" xr6:coauthVersionLast="47" xr6:coauthVersionMax="47" xr10:uidLastSave="{00000000-0000-0000-0000-000000000000}"/>
  <bookViews>
    <workbookView xWindow="1860" yWindow="1860" windowWidth="19200" windowHeight="1117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ContinuousTimeStatsByRep!$A$1:$L$36</definedName>
    <definedName name="ExternalData_1" localSheetId="4" hidden="1">CounterStatsByRep!$A$1:$G$2</definedName>
    <definedName name="ExternalData_1" localSheetId="2" hidden="1">DiscreteTimeStatsByRep!$A$1:$K$46</definedName>
    <definedName name="ExternalData_1" localSheetId="6" hidden="1">FrequencyStatsByRep!$A$1:$K$2</definedName>
    <definedName name="ExternalData_1" localSheetId="5" hidden="1">OutputStatsByRep!$A$1:$H$26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K11" i="20" s="1" a="1"/>
  <c r="K11" i="20" s="1"/>
  <c r="I4" i="20"/>
  <c r="I5" i="20"/>
  <c r="I6" i="20"/>
  <c r="I7" i="20"/>
  <c r="I8" i="20"/>
  <c r="I9" i="20"/>
  <c r="I10" i="20"/>
  <c r="I11" i="20"/>
  <c r="I12" i="20"/>
  <c r="K3" i="20" s="1" a="1"/>
  <c r="K3" i="20" s="1"/>
  <c r="I13" i="20"/>
  <c r="I14" i="20"/>
  <c r="I15" i="20"/>
  <c r="P20" i="20" s="1" a="1"/>
  <c r="P20" i="20" s="1"/>
  <c r="I16" i="20"/>
  <c r="I17" i="20"/>
  <c r="I18" i="20"/>
  <c r="I19" i="20"/>
  <c r="I20" i="20"/>
  <c r="I21" i="20"/>
  <c r="I22" i="20"/>
  <c r="I23" i="20"/>
  <c r="I24" i="20"/>
  <c r="I25" i="20"/>
  <c r="I26" i="20"/>
  <c r="J2" i="20" a="1"/>
  <c r="J2" i="20"/>
  <c r="J3" i="20" a="1"/>
  <c r="J3" i="20"/>
  <c r="J4" i="20" a="1"/>
  <c r="J4" i="20" s="1"/>
  <c r="J5" i="20" a="1"/>
  <c r="J5" i="20"/>
  <c r="J6" i="20" a="1"/>
  <c r="J6" i="20" s="1"/>
  <c r="J7" i="20" a="1"/>
  <c r="J7" i="20" s="1"/>
  <c r="J8" i="20" a="1"/>
  <c r="J8" i="20"/>
  <c r="J9" i="20" a="1"/>
  <c r="J9" i="20" s="1"/>
  <c r="J10" i="20" a="1"/>
  <c r="J10" i="20" s="1"/>
  <c r="J11" i="20" a="1"/>
  <c r="J11" i="20" s="1"/>
  <c r="J12" i="20" a="1"/>
  <c r="J12" i="20" s="1"/>
  <c r="J13" i="20" a="1"/>
  <c r="J13" i="20"/>
  <c r="J14" i="20" a="1"/>
  <c r="J14" i="20" s="1"/>
  <c r="J15" i="20" a="1"/>
  <c r="J15" i="20"/>
  <c r="J16" i="20" a="1"/>
  <c r="J16" i="20"/>
  <c r="J17" i="20" a="1"/>
  <c r="J17" i="20" s="1"/>
  <c r="J18" i="20" a="1"/>
  <c r="J18" i="20"/>
  <c r="J19" i="20" a="1"/>
  <c r="J19" i="20"/>
  <c r="J20" i="20" a="1"/>
  <c r="J20" i="20" s="1"/>
  <c r="J21" i="20" a="1"/>
  <c r="J21" i="20" s="1"/>
  <c r="J22" i="20" a="1"/>
  <c r="J22" i="20" s="1"/>
  <c r="J23" i="20" a="1"/>
  <c r="J23" i="20"/>
  <c r="J24" i="20" a="1"/>
  <c r="J24" i="20" s="1"/>
  <c r="J25" i="20" a="1"/>
  <c r="J25" i="20" s="1"/>
  <c r="J26" i="20" a="1"/>
  <c r="J26" i="20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/>
  <c r="M25" i="20" a="1"/>
  <c r="M25" i="20" s="1"/>
  <c r="M26" i="20" a="1"/>
  <c r="M26" i="20" s="1"/>
  <c r="M2" i="18"/>
  <c r="P17" i="18" s="1" a="1"/>
  <c r="P17" i="18" s="1"/>
  <c r="M3" i="18"/>
  <c r="M4" i="18"/>
  <c r="P9" i="18" s="1" a="1"/>
  <c r="P9" i="18" s="1"/>
  <c r="M5" i="18"/>
  <c r="M6" i="18"/>
  <c r="M7" i="18"/>
  <c r="M8" i="18"/>
  <c r="M9" i="18"/>
  <c r="M10" i="18"/>
  <c r="M11" i="18"/>
  <c r="M12" i="18"/>
  <c r="M13" i="18"/>
  <c r="O12" i="18" s="1" a="1"/>
  <c r="O12" i="18" s="1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O31" i="18" s="1" a="1"/>
  <c r="O31" i="18" s="1"/>
  <c r="M32" i="18"/>
  <c r="M33" i="18"/>
  <c r="M34" i="18"/>
  <c r="M35" i="18"/>
  <c r="M36" i="18"/>
  <c r="O36" i="18" s="1" a="1"/>
  <c r="O36" i="18" s="1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/>
  <c r="N10" i="18" a="1"/>
  <c r="N10" i="18" s="1"/>
  <c r="N11" i="18" a="1"/>
  <c r="N11" i="18" s="1"/>
  <c r="N12" i="18" a="1"/>
  <c r="N12" i="18" s="1"/>
  <c r="N13" i="18" a="1"/>
  <c r="N13" i="18"/>
  <c r="N14" i="18" a="1"/>
  <c r="N14" i="18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/>
  <c r="N22" i="18" a="1"/>
  <c r="N22" i="18" s="1"/>
  <c r="N23" i="18" a="1"/>
  <c r="N23" i="18" s="1"/>
  <c r="N24" i="18" a="1"/>
  <c r="N24" i="18" s="1"/>
  <c r="N25" i="18" a="1"/>
  <c r="N25" i="18"/>
  <c r="N26" i="18" a="1"/>
  <c r="N26" i="18" s="1"/>
  <c r="N27" i="18" a="1"/>
  <c r="N27" i="18" s="1"/>
  <c r="N28" i="18" a="1"/>
  <c r="N28" i="18" s="1"/>
  <c r="N29" i="18" a="1"/>
  <c r="N29" i="18" s="1"/>
  <c r="N30" i="18" a="1"/>
  <c r="N30" i="18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O20" i="18" a="1"/>
  <c r="O20" i="18" s="1"/>
  <c r="O28" i="18" a="1"/>
  <c r="O28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Q19" i="18" a="1"/>
  <c r="Q19" i="18" s="1"/>
  <c r="Q20" i="18" a="1"/>
  <c r="Q20" i="18" s="1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 s="1"/>
  <c r="Q29" i="18" a="1"/>
  <c r="Q29" i="18"/>
  <c r="Q30" i="18" a="1"/>
  <c r="Q30" i="18" s="1"/>
  <c r="Q31" i="18" a="1"/>
  <c r="Q31" i="18" s="1"/>
  <c r="Q32" i="18" a="1"/>
  <c r="Q32" i="18" s="1"/>
  <c r="Q33" i="18" a="1"/>
  <c r="Q33" i="18" s="1"/>
  <c r="Q34" i="18" a="1"/>
  <c r="Q34" i="18" s="1"/>
  <c r="Q35" i="18" a="1"/>
  <c r="Q35" i="18" s="1"/>
  <c r="Q36" i="18" a="1"/>
  <c r="Q36" i="18" s="1"/>
  <c r="T32" i="18" a="1"/>
  <c r="T32" i="18" s="1"/>
  <c r="L2" i="17"/>
  <c r="L7" i="17"/>
  <c r="L12" i="17"/>
  <c r="L17" i="17"/>
  <c r="L18" i="17"/>
  <c r="L19" i="17"/>
  <c r="L20" i="17"/>
  <c r="L21" i="17"/>
  <c r="L22" i="17"/>
  <c r="L3" i="17"/>
  <c r="L8" i="17"/>
  <c r="L13" i="17"/>
  <c r="L23" i="17"/>
  <c r="L24" i="17"/>
  <c r="L25" i="17"/>
  <c r="L26" i="17"/>
  <c r="L27" i="17"/>
  <c r="L28" i="17"/>
  <c r="L4" i="17"/>
  <c r="L9" i="17"/>
  <c r="L14" i="17"/>
  <c r="L29" i="17"/>
  <c r="L30" i="17"/>
  <c r="L31" i="17"/>
  <c r="L32" i="17"/>
  <c r="L33" i="17"/>
  <c r="L34" i="17"/>
  <c r="L5" i="17"/>
  <c r="L10" i="17"/>
  <c r="L15" i="17"/>
  <c r="L35" i="17"/>
  <c r="L36" i="17"/>
  <c r="L37" i="17"/>
  <c r="L38" i="17"/>
  <c r="L39" i="17"/>
  <c r="L40" i="17"/>
  <c r="L6" i="17"/>
  <c r="L11" i="17"/>
  <c r="L16" i="17"/>
  <c r="X16" i="17" s="1" a="1"/>
  <c r="X16" i="17" s="1"/>
  <c r="Y16" i="17" s="1"/>
  <c r="L41" i="17"/>
  <c r="L42" i="17"/>
  <c r="L43" i="17"/>
  <c r="L44" i="17"/>
  <c r="L45" i="17"/>
  <c r="L46" i="17"/>
  <c r="M2" i="17" a="1"/>
  <c r="M2" i="17" s="1"/>
  <c r="M7" i="17" a="1"/>
  <c r="M7" i="17" s="1"/>
  <c r="M12" i="17" a="1"/>
  <c r="M12" i="17" s="1"/>
  <c r="M17" i="17" a="1"/>
  <c r="M17" i="17" s="1"/>
  <c r="M18" i="17" a="1"/>
  <c r="M18" i="17" s="1"/>
  <c r="M19" i="17" a="1"/>
  <c r="M19" i="17" s="1"/>
  <c r="M20" i="17" a="1"/>
  <c r="M20" i="17" s="1"/>
  <c r="M21" i="17" a="1"/>
  <c r="M21" i="17" s="1"/>
  <c r="M22" i="17" a="1"/>
  <c r="M22" i="17" s="1"/>
  <c r="M3" i="17" a="1"/>
  <c r="M3" i="17" s="1"/>
  <c r="M8" i="17" a="1"/>
  <c r="M8" i="17" s="1"/>
  <c r="M13" i="17" a="1"/>
  <c r="M13" i="17" s="1"/>
  <c r="M23" i="17" a="1"/>
  <c r="M23" i="17" s="1"/>
  <c r="M24" i="17" a="1"/>
  <c r="M24" i="17" s="1"/>
  <c r="M25" i="17" a="1"/>
  <c r="M25" i="17" s="1"/>
  <c r="M26" i="17" a="1"/>
  <c r="M26" i="17" s="1"/>
  <c r="M27" i="17" a="1"/>
  <c r="M27" i="17" s="1"/>
  <c r="M28" i="17" a="1"/>
  <c r="M28" i="17" s="1"/>
  <c r="M4" i="17" a="1"/>
  <c r="M4" i="17" s="1"/>
  <c r="M9" i="17" a="1"/>
  <c r="M9" i="17" s="1"/>
  <c r="M14" i="17" a="1"/>
  <c r="M14" i="17" s="1"/>
  <c r="M29" i="17" a="1"/>
  <c r="M29" i="17" s="1"/>
  <c r="M30" i="17" a="1"/>
  <c r="M30" i="17" s="1"/>
  <c r="M31" i="17" a="1"/>
  <c r="M31" i="17"/>
  <c r="M32" i="17" a="1"/>
  <c r="M32" i="17" s="1"/>
  <c r="M33" i="17" a="1"/>
  <c r="M33" i="17" s="1"/>
  <c r="M34" i="17" a="1"/>
  <c r="M34" i="17" s="1"/>
  <c r="M5" i="17" a="1"/>
  <c r="M5" i="17" s="1"/>
  <c r="M10" i="17" a="1"/>
  <c r="M10" i="17" s="1"/>
  <c r="M15" i="17" a="1"/>
  <c r="M15" i="17" s="1"/>
  <c r="M35" i="17" a="1"/>
  <c r="M35" i="17" s="1"/>
  <c r="M36" i="17" a="1"/>
  <c r="M36" i="17" s="1"/>
  <c r="M37" i="17" a="1"/>
  <c r="M37" i="17" s="1"/>
  <c r="M38" i="17" a="1"/>
  <c r="M38" i="17" s="1"/>
  <c r="M39" i="17" a="1"/>
  <c r="M39" i="17" s="1"/>
  <c r="M40" i="17" a="1"/>
  <c r="M40" i="17"/>
  <c r="M6" i="17" a="1"/>
  <c r="M6" i="17" s="1"/>
  <c r="M11" i="17" a="1"/>
  <c r="M11" i="17" s="1"/>
  <c r="M16" i="17" a="1"/>
  <c r="M16" i="17"/>
  <c r="M41" i="17" a="1"/>
  <c r="M41" i="17" s="1"/>
  <c r="M42" i="17" a="1"/>
  <c r="M42" i="17" s="1"/>
  <c r="M43" i="17" a="1"/>
  <c r="M43" i="17" s="1"/>
  <c r="M44" i="17" a="1"/>
  <c r="M44" i="17" s="1"/>
  <c r="M45" i="17" a="1"/>
  <c r="M45" i="17" s="1"/>
  <c r="M46" i="17" a="1"/>
  <c r="M46" i="17" s="1"/>
  <c r="P2" i="17" a="1"/>
  <c r="P2" i="17" s="1"/>
  <c r="P7" i="17" a="1"/>
  <c r="P7" i="17" s="1"/>
  <c r="P12" i="17" a="1"/>
  <c r="P12" i="17" s="1"/>
  <c r="P17" i="17" a="1"/>
  <c r="P17" i="17" s="1"/>
  <c r="P18" i="17" a="1"/>
  <c r="P18" i="17" s="1"/>
  <c r="P19" i="17" a="1"/>
  <c r="P19" i="17" s="1"/>
  <c r="P20" i="17" a="1"/>
  <c r="P20" i="17" s="1"/>
  <c r="P21" i="17" a="1"/>
  <c r="P21" i="17" s="1"/>
  <c r="P22" i="17" a="1"/>
  <c r="P22" i="17" s="1"/>
  <c r="P3" i="17" a="1"/>
  <c r="P3" i="17" s="1"/>
  <c r="P8" i="17" a="1"/>
  <c r="P8" i="17" s="1"/>
  <c r="P13" i="17" a="1"/>
  <c r="P13" i="17" s="1"/>
  <c r="P23" i="17" a="1"/>
  <c r="P23" i="17" s="1"/>
  <c r="P24" i="17" a="1"/>
  <c r="P24" i="17" s="1"/>
  <c r="P25" i="17" a="1"/>
  <c r="P25" i="17" s="1"/>
  <c r="P26" i="17" a="1"/>
  <c r="P26" i="17" s="1"/>
  <c r="P27" i="17" a="1"/>
  <c r="P27" i="17" s="1"/>
  <c r="P28" i="17" a="1"/>
  <c r="P28" i="17" s="1"/>
  <c r="P4" i="17" a="1"/>
  <c r="P4" i="17" s="1"/>
  <c r="P9" i="17" a="1"/>
  <c r="P9" i="17" s="1"/>
  <c r="P14" i="17" a="1"/>
  <c r="P14" i="17" s="1"/>
  <c r="P29" i="17" a="1"/>
  <c r="P29" i="17" s="1"/>
  <c r="P30" i="17" a="1"/>
  <c r="P30" i="17" s="1"/>
  <c r="P31" i="17" a="1"/>
  <c r="P31" i="17"/>
  <c r="P32" i="17" a="1"/>
  <c r="P32" i="17" s="1"/>
  <c r="P33" i="17" a="1"/>
  <c r="P33" i="17" s="1"/>
  <c r="P34" i="17" a="1"/>
  <c r="P34" i="17" s="1"/>
  <c r="P5" i="17" a="1"/>
  <c r="P5" i="17" s="1"/>
  <c r="P10" i="17" a="1"/>
  <c r="P10" i="17" s="1"/>
  <c r="P15" i="17" a="1"/>
  <c r="P15" i="17" s="1"/>
  <c r="P35" i="17" a="1"/>
  <c r="P35" i="17" s="1"/>
  <c r="P36" i="17" a="1"/>
  <c r="P36" i="17"/>
  <c r="P37" i="17" a="1"/>
  <c r="P37" i="17" s="1"/>
  <c r="P38" i="17" a="1"/>
  <c r="P38" i="17" s="1"/>
  <c r="P39" i="17" a="1"/>
  <c r="P39" i="17" s="1"/>
  <c r="P40" i="17" a="1"/>
  <c r="P40" i="17" s="1"/>
  <c r="P6" i="17" a="1"/>
  <c r="P6" i="17" s="1"/>
  <c r="P11" i="17" a="1"/>
  <c r="P11" i="17" s="1"/>
  <c r="P16" i="17" a="1"/>
  <c r="P16" i="17" s="1"/>
  <c r="P41" i="17" a="1"/>
  <c r="P41" i="17" s="1"/>
  <c r="P42" i="17" a="1"/>
  <c r="P42" i="17" s="1"/>
  <c r="P43" i="17" a="1"/>
  <c r="P43" i="17" s="1"/>
  <c r="P44" i="17" a="1"/>
  <c r="P44" i="17" s="1"/>
  <c r="P45" i="17" a="1"/>
  <c r="P45" i="17" s="1"/>
  <c r="P46" i="17" a="1"/>
  <c r="P46" i="17" s="1"/>
  <c r="G2" i="16"/>
  <c r="N26" i="20" l="1"/>
  <c r="O5" i="20" a="1"/>
  <c r="O5" i="20" s="1"/>
  <c r="L26" i="20" a="1"/>
  <c r="L26" i="20" s="1"/>
  <c r="L18" i="20" a="1"/>
  <c r="L18" i="20" s="1"/>
  <c r="N18" i="20" s="1"/>
  <c r="K24" i="20" a="1"/>
  <c r="K24" i="20" s="1"/>
  <c r="K8" i="20" a="1"/>
  <c r="K8" i="20" s="1"/>
  <c r="L10" i="20" a="1"/>
  <c r="L10" i="20" s="1"/>
  <c r="N10" i="20" s="1"/>
  <c r="L2" i="20" a="1"/>
  <c r="L2" i="20" s="1"/>
  <c r="N2" i="20" s="1"/>
  <c r="P12" i="20" a="1"/>
  <c r="P12" i="20" s="1"/>
  <c r="O6" i="20" a="1"/>
  <c r="O6" i="20" s="1"/>
  <c r="K19" i="20" a="1"/>
  <c r="K19" i="20" s="1"/>
  <c r="O22" i="20" a="1"/>
  <c r="O22" i="20" s="1"/>
  <c r="K5" i="20" a="1"/>
  <c r="K5" i="20" s="1"/>
  <c r="L19" i="20" a="1"/>
  <c r="L19" i="20" s="1"/>
  <c r="N19" i="20" s="1"/>
  <c r="L11" i="20" a="1"/>
  <c r="L11" i="20" s="1"/>
  <c r="N11" i="20" s="1"/>
  <c r="L3" i="20" a="1"/>
  <c r="L3" i="20" s="1"/>
  <c r="N3" i="20" s="1"/>
  <c r="K20" i="20" a="1"/>
  <c r="K20" i="20" s="1"/>
  <c r="K12" i="20" a="1"/>
  <c r="K12" i="20" s="1"/>
  <c r="K4" i="20" a="1"/>
  <c r="K4" i="20" s="1"/>
  <c r="P19" i="20" a="1"/>
  <c r="P19" i="20" s="1"/>
  <c r="P11" i="20" a="1"/>
  <c r="P11" i="20" s="1"/>
  <c r="P3" i="20" a="1"/>
  <c r="P3" i="20" s="1"/>
  <c r="O20" i="20" a="1"/>
  <c r="O20" i="20" s="1"/>
  <c r="O12" i="20" a="1"/>
  <c r="O12" i="20" s="1"/>
  <c r="O4" i="20" a="1"/>
  <c r="O4" i="20" s="1"/>
  <c r="P18" i="20" a="1"/>
  <c r="P18" i="20" s="1"/>
  <c r="L17" i="20" a="1"/>
  <c r="L17" i="20" s="1"/>
  <c r="N17" i="20" s="1"/>
  <c r="K2" i="20" a="1"/>
  <c r="K2" i="20" s="1"/>
  <c r="P25" i="20" a="1"/>
  <c r="P25" i="20" s="1"/>
  <c r="P17" i="20" a="1"/>
  <c r="P17" i="20" s="1"/>
  <c r="P9" i="20" a="1"/>
  <c r="P9" i="20" s="1"/>
  <c r="O26" i="20" a="1"/>
  <c r="O26" i="20" s="1"/>
  <c r="O18" i="20" a="1"/>
  <c r="O18" i="20" s="1"/>
  <c r="O10" i="20" a="1"/>
  <c r="O10" i="20" s="1"/>
  <c r="O2" i="20" a="1"/>
  <c r="O2" i="20" s="1"/>
  <c r="K18" i="20" a="1"/>
  <c r="K18" i="20" s="1"/>
  <c r="L16" i="20" a="1"/>
  <c r="L16" i="20" s="1"/>
  <c r="N16" i="20" s="1"/>
  <c r="L8" i="20" a="1"/>
  <c r="L8" i="20" s="1"/>
  <c r="N8" i="20" s="1"/>
  <c r="K25" i="20" a="1"/>
  <c r="K25" i="20" s="1"/>
  <c r="K17" i="20" a="1"/>
  <c r="K17" i="20" s="1"/>
  <c r="K9" i="20" a="1"/>
  <c r="K9" i="20" s="1"/>
  <c r="O3" i="20" a="1"/>
  <c r="O3" i="20" s="1"/>
  <c r="K10" i="20" a="1"/>
  <c r="K10" i="20" s="1"/>
  <c r="P24" i="20" a="1"/>
  <c r="P24" i="20" s="1"/>
  <c r="P8" i="20" a="1"/>
  <c r="P8" i="20" s="1"/>
  <c r="O25" i="20" a="1"/>
  <c r="O25" i="20" s="1"/>
  <c r="O17" i="20" a="1"/>
  <c r="O17" i="20" s="1"/>
  <c r="O9" i="20" a="1"/>
  <c r="O9" i="20" s="1"/>
  <c r="O11" i="20" a="1"/>
  <c r="O11" i="20" s="1"/>
  <c r="L24" i="20" a="1"/>
  <c r="L24" i="20" s="1"/>
  <c r="N24" i="20" s="1"/>
  <c r="P16" i="20" a="1"/>
  <c r="P16" i="20" s="1"/>
  <c r="L23" i="20" a="1"/>
  <c r="L23" i="20" s="1"/>
  <c r="N23" i="20" s="1"/>
  <c r="L15" i="20" a="1"/>
  <c r="L15" i="20" s="1"/>
  <c r="N15" i="20" s="1"/>
  <c r="L7" i="20" a="1"/>
  <c r="L7" i="20" s="1"/>
  <c r="N7" i="20" s="1"/>
  <c r="K16" i="20" a="1"/>
  <c r="K16" i="20" s="1"/>
  <c r="P26" i="20" a="1"/>
  <c r="P26" i="20" s="1"/>
  <c r="L9" i="20" a="1"/>
  <c r="L9" i="20" s="1"/>
  <c r="N9" i="20" s="1"/>
  <c r="O24" i="20" a="1"/>
  <c r="O24" i="20" s="1"/>
  <c r="O16" i="20" a="1"/>
  <c r="O16" i="20" s="1"/>
  <c r="O8" i="20" a="1"/>
  <c r="O8" i="20" s="1"/>
  <c r="L25" i="20" a="1"/>
  <c r="L25" i="20" s="1"/>
  <c r="N25" i="20" s="1"/>
  <c r="L6" i="20" a="1"/>
  <c r="L6" i="20" s="1"/>
  <c r="N6" i="20" s="1"/>
  <c r="K23" i="20" a="1"/>
  <c r="K23" i="20" s="1"/>
  <c r="K15" i="20" a="1"/>
  <c r="K15" i="20" s="1"/>
  <c r="K7" i="20" a="1"/>
  <c r="K7" i="20" s="1"/>
  <c r="K26" i="20" a="1"/>
  <c r="K26" i="20" s="1"/>
  <c r="L22" i="20" a="1"/>
  <c r="L22" i="20" s="1"/>
  <c r="N22" i="20" s="1"/>
  <c r="L14" i="20" a="1"/>
  <c r="L14" i="20" s="1"/>
  <c r="N14" i="20" s="1"/>
  <c r="O23" i="20" a="1"/>
  <c r="O23" i="20" s="1"/>
  <c r="O15" i="20" a="1"/>
  <c r="O15" i="20" s="1"/>
  <c r="O7" i="20" a="1"/>
  <c r="O7" i="20" s="1"/>
  <c r="P2" i="20" a="1"/>
  <c r="P2" i="20" s="1"/>
  <c r="P7" i="20" a="1"/>
  <c r="P7" i="20" s="1"/>
  <c r="P6" i="20" a="1"/>
  <c r="P6" i="20" s="1"/>
  <c r="L21" i="20" a="1"/>
  <c r="L21" i="20" s="1"/>
  <c r="N21" i="20" s="1"/>
  <c r="L13" i="20" a="1"/>
  <c r="L13" i="20" s="1"/>
  <c r="N13" i="20" s="1"/>
  <c r="L5" i="20" a="1"/>
  <c r="L5" i="20" s="1"/>
  <c r="N5" i="20" s="1"/>
  <c r="K22" i="20" a="1"/>
  <c r="K22" i="20" s="1"/>
  <c r="K14" i="20" a="1"/>
  <c r="K14" i="20" s="1"/>
  <c r="K6" i="20" a="1"/>
  <c r="K6" i="20" s="1"/>
  <c r="P10" i="20" a="1"/>
  <c r="P10" i="20" s="1"/>
  <c r="P23" i="20" a="1"/>
  <c r="P23" i="20" s="1"/>
  <c r="P15" i="20" a="1"/>
  <c r="P15" i="20" s="1"/>
  <c r="P22" i="20" a="1"/>
  <c r="P22" i="20" s="1"/>
  <c r="P14" i="20" a="1"/>
  <c r="P14" i="20" s="1"/>
  <c r="P21" i="20" a="1"/>
  <c r="P21" i="20" s="1"/>
  <c r="P13" i="20" a="1"/>
  <c r="P13" i="20" s="1"/>
  <c r="P5" i="20" a="1"/>
  <c r="P5" i="20" s="1"/>
  <c r="O14" i="20" a="1"/>
  <c r="O14" i="20" s="1"/>
  <c r="O19" i="20" a="1"/>
  <c r="O19" i="20" s="1"/>
  <c r="L20" i="20" a="1"/>
  <c r="L20" i="20" s="1"/>
  <c r="N20" i="20" s="1"/>
  <c r="L12" i="20" a="1"/>
  <c r="L12" i="20" s="1"/>
  <c r="N12" i="20" s="1"/>
  <c r="L4" i="20" a="1"/>
  <c r="L4" i="20" s="1"/>
  <c r="N4" i="20" s="1"/>
  <c r="K21" i="20" a="1"/>
  <c r="K21" i="20" s="1"/>
  <c r="K13" i="20" a="1"/>
  <c r="K13" i="20" s="1"/>
  <c r="P4" i="20" a="1"/>
  <c r="P4" i="20" s="1"/>
  <c r="O21" i="20" a="1"/>
  <c r="O21" i="20" s="1"/>
  <c r="O13" i="20" a="1"/>
  <c r="O13" i="20" s="1"/>
  <c r="T24" i="18" a="1"/>
  <c r="T24" i="18" s="1"/>
  <c r="O4" i="18" a="1"/>
  <c r="O4" i="18" s="1"/>
  <c r="R33" i="18"/>
  <c r="U33" i="18" s="1"/>
  <c r="T28" i="18" a="1"/>
  <c r="T28" i="18" s="1"/>
  <c r="T12" i="18" a="1"/>
  <c r="T12" i="18" s="1"/>
  <c r="O30" i="18" a="1"/>
  <c r="O30" i="18" s="1"/>
  <c r="P25" i="18" a="1"/>
  <c r="P25" i="18" s="1"/>
  <c r="R25" i="18" s="1"/>
  <c r="U25" i="18" s="1"/>
  <c r="T14" i="18" a="1"/>
  <c r="T14" i="18" s="1"/>
  <c r="P33" i="18" a="1"/>
  <c r="P33" i="18" s="1"/>
  <c r="R17" i="18"/>
  <c r="U17" i="18" s="1"/>
  <c r="S19" i="18" a="1"/>
  <c r="S19" i="18" s="1"/>
  <c r="S23" i="18" a="1"/>
  <c r="S23" i="18" s="1"/>
  <c r="S7" i="18" a="1"/>
  <c r="S7" i="18" s="1"/>
  <c r="O22" i="18" a="1"/>
  <c r="O22" i="18" s="1"/>
  <c r="O6" i="18" a="1"/>
  <c r="O6" i="18" s="1"/>
  <c r="R9" i="18"/>
  <c r="U9" i="18" s="1"/>
  <c r="S3" i="18" a="1"/>
  <c r="S3" i="18" s="1"/>
  <c r="T20" i="18" a="1"/>
  <c r="T20" i="18" s="1"/>
  <c r="T36" i="18" a="1"/>
  <c r="T36" i="18" s="1"/>
  <c r="P34" i="18" a="1"/>
  <c r="P34" i="18" s="1"/>
  <c r="R34" i="18" s="1"/>
  <c r="U34" i="18" s="1"/>
  <c r="P18" i="18" a="1"/>
  <c r="P18" i="18" s="1"/>
  <c r="R18" i="18" s="1"/>
  <c r="U18" i="18" s="1"/>
  <c r="P10" i="18" a="1"/>
  <c r="P10" i="18" s="1"/>
  <c r="R10" i="18" s="1"/>
  <c r="U10" i="18" s="1"/>
  <c r="P2" i="18" a="1"/>
  <c r="P2" i="18" s="1"/>
  <c r="R2" i="18" s="1"/>
  <c r="U2" i="18" s="1"/>
  <c r="O29" i="18" a="1"/>
  <c r="O29" i="18" s="1"/>
  <c r="O21" i="18" a="1"/>
  <c r="O21" i="18" s="1"/>
  <c r="O13" i="18" a="1"/>
  <c r="O13" i="18" s="1"/>
  <c r="O5" i="18" a="1"/>
  <c r="O5" i="18" s="1"/>
  <c r="P26" i="18" a="1"/>
  <c r="P26" i="18" s="1"/>
  <c r="R26" i="18" s="1"/>
  <c r="U26" i="18" s="1"/>
  <c r="T31" i="18" a="1"/>
  <c r="T31" i="18" s="1"/>
  <c r="T23" i="18" a="1"/>
  <c r="T23" i="18" s="1"/>
  <c r="T15" i="18" a="1"/>
  <c r="T15" i="18" s="1"/>
  <c r="T7" i="18" a="1"/>
  <c r="T7" i="18" s="1"/>
  <c r="S34" i="18" a="1"/>
  <c r="S34" i="18" s="1"/>
  <c r="S26" i="18" a="1"/>
  <c r="S26" i="18" s="1"/>
  <c r="S18" i="18" a="1"/>
  <c r="S18" i="18" s="1"/>
  <c r="S10" i="18" a="1"/>
  <c r="S10" i="18" s="1"/>
  <c r="S2" i="18" a="1"/>
  <c r="S2" i="18" s="1"/>
  <c r="S9" i="18" a="1"/>
  <c r="S9" i="18" s="1"/>
  <c r="P24" i="18" a="1"/>
  <c r="P24" i="18" s="1"/>
  <c r="R24" i="18" s="1"/>
  <c r="U24" i="18" s="1"/>
  <c r="P8" i="18" a="1"/>
  <c r="P8" i="18" s="1"/>
  <c r="R8" i="18" s="1"/>
  <c r="U8" i="18" s="1"/>
  <c r="O35" i="18" a="1"/>
  <c r="O35" i="18" s="1"/>
  <c r="O27" i="18" a="1"/>
  <c r="O27" i="18" s="1"/>
  <c r="O19" i="18" a="1"/>
  <c r="O19" i="18" s="1"/>
  <c r="O11" i="18" a="1"/>
  <c r="O11" i="18" s="1"/>
  <c r="O3" i="18" a="1"/>
  <c r="O3" i="18" s="1"/>
  <c r="T30" i="18" a="1"/>
  <c r="T30" i="18" s="1"/>
  <c r="P32" i="18" a="1"/>
  <c r="P32" i="18" s="1"/>
  <c r="R32" i="18" s="1"/>
  <c r="U32" i="18" s="1"/>
  <c r="T21" i="18" a="1"/>
  <c r="T21" i="18" s="1"/>
  <c r="S32" i="18" a="1"/>
  <c r="S32" i="18" s="1"/>
  <c r="S24" i="18" a="1"/>
  <c r="S24" i="18" s="1"/>
  <c r="S16" i="18" a="1"/>
  <c r="S16" i="18" s="1"/>
  <c r="S8" i="18" a="1"/>
  <c r="S8" i="18" s="1"/>
  <c r="S17" i="18" a="1"/>
  <c r="S17" i="18" s="1"/>
  <c r="P16" i="18" a="1"/>
  <c r="P16" i="18" s="1"/>
  <c r="R16" i="18" s="1"/>
  <c r="U16" i="18" s="1"/>
  <c r="T5" i="18" a="1"/>
  <c r="T5" i="18" s="1"/>
  <c r="P31" i="18" a="1"/>
  <c r="P31" i="18" s="1"/>
  <c r="R31" i="18" s="1"/>
  <c r="U31" i="18" s="1"/>
  <c r="O34" i="18" a="1"/>
  <c r="O34" i="18" s="1"/>
  <c r="O18" i="18" a="1"/>
  <c r="O18" i="18" s="1"/>
  <c r="O2" i="18" a="1"/>
  <c r="O2" i="18" s="1"/>
  <c r="S33" i="18" a="1"/>
  <c r="S33" i="18" s="1"/>
  <c r="T29" i="18" a="1"/>
  <c r="T29" i="18" s="1"/>
  <c r="T13" i="18" a="1"/>
  <c r="T13" i="18" s="1"/>
  <c r="P23" i="18" a="1"/>
  <c r="P23" i="18" s="1"/>
  <c r="R23" i="18" s="1"/>
  <c r="U23" i="18" s="1"/>
  <c r="P15" i="18" a="1"/>
  <c r="P15" i="18" s="1"/>
  <c r="R15" i="18" s="1"/>
  <c r="U15" i="18" s="1"/>
  <c r="P7" i="18" a="1"/>
  <c r="P7" i="18" s="1"/>
  <c r="R7" i="18" s="1"/>
  <c r="U7" i="18" s="1"/>
  <c r="O26" i="18" a="1"/>
  <c r="O26" i="18" s="1"/>
  <c r="O10" i="18" a="1"/>
  <c r="O10" i="18" s="1"/>
  <c r="T4" i="18" a="1"/>
  <c r="T4" i="18" s="1"/>
  <c r="S31" i="18" a="1"/>
  <c r="S31" i="18" s="1"/>
  <c r="S15" i="18" a="1"/>
  <c r="S15" i="18" s="1"/>
  <c r="S25" i="18" a="1"/>
  <c r="S25" i="18" s="1"/>
  <c r="R30" i="18"/>
  <c r="U30" i="18" s="1"/>
  <c r="P30" i="18" a="1"/>
  <c r="P30" i="18" s="1"/>
  <c r="P22" i="18" a="1"/>
  <c r="P22" i="18" s="1"/>
  <c r="R22" i="18" s="1"/>
  <c r="U22" i="18" s="1"/>
  <c r="P14" i="18" a="1"/>
  <c r="P14" i="18" s="1"/>
  <c r="R14" i="18" s="1"/>
  <c r="U14" i="18" s="1"/>
  <c r="P6" i="18" a="1"/>
  <c r="P6" i="18" s="1"/>
  <c r="R6" i="18" s="1"/>
  <c r="U6" i="18" s="1"/>
  <c r="O33" i="18" a="1"/>
  <c r="O33" i="18" s="1"/>
  <c r="O25" i="18" a="1"/>
  <c r="O25" i="18" s="1"/>
  <c r="O17" i="18" a="1"/>
  <c r="O17" i="18" s="1"/>
  <c r="O9" i="18" a="1"/>
  <c r="O9" i="18" s="1"/>
  <c r="T6" i="18" a="1"/>
  <c r="T6" i="18" s="1"/>
  <c r="T35" i="18" a="1"/>
  <c r="T35" i="18" s="1"/>
  <c r="T27" i="18" a="1"/>
  <c r="T27" i="18" s="1"/>
  <c r="T19" i="18" a="1"/>
  <c r="T19" i="18" s="1"/>
  <c r="T11" i="18" a="1"/>
  <c r="T11" i="18" s="1"/>
  <c r="T3" i="18" a="1"/>
  <c r="T3" i="18" s="1"/>
  <c r="S30" i="18" a="1"/>
  <c r="S30" i="18" s="1"/>
  <c r="S22" i="18" a="1"/>
  <c r="S22" i="18" s="1"/>
  <c r="S14" i="18" a="1"/>
  <c r="S14" i="18" s="1"/>
  <c r="S6" i="18" a="1"/>
  <c r="S6" i="18" s="1"/>
  <c r="P21" i="18" a="1"/>
  <c r="P21" i="18" s="1"/>
  <c r="R21" i="18" s="1"/>
  <c r="U21" i="18" s="1"/>
  <c r="P13" i="18" a="1"/>
  <c r="P13" i="18" s="1"/>
  <c r="R13" i="18" s="1"/>
  <c r="U13" i="18" s="1"/>
  <c r="P5" i="18" a="1"/>
  <c r="P5" i="18" s="1"/>
  <c r="R5" i="18" s="1"/>
  <c r="U5" i="18" s="1"/>
  <c r="O32" i="18" a="1"/>
  <c r="O32" i="18" s="1"/>
  <c r="O24" i="18" a="1"/>
  <c r="O24" i="18" s="1"/>
  <c r="O16" i="18" a="1"/>
  <c r="O16" i="18" s="1"/>
  <c r="O8" i="18" a="1"/>
  <c r="O8" i="18" s="1"/>
  <c r="T22" i="18" a="1"/>
  <c r="T22" i="18" s="1"/>
  <c r="T18" i="18" a="1"/>
  <c r="T18" i="18" s="1"/>
  <c r="T10" i="18" a="1"/>
  <c r="T10" i="18" s="1"/>
  <c r="T2" i="18" a="1"/>
  <c r="T2" i="18" s="1"/>
  <c r="S29" i="18" a="1"/>
  <c r="S29" i="18" s="1"/>
  <c r="S21" i="18" a="1"/>
  <c r="S21" i="18" s="1"/>
  <c r="S13" i="18" a="1"/>
  <c r="S13" i="18" s="1"/>
  <c r="S5" i="18" a="1"/>
  <c r="S5" i="18" s="1"/>
  <c r="P29" i="18" a="1"/>
  <c r="P29" i="18" s="1"/>
  <c r="R29" i="18" s="1"/>
  <c r="U29" i="18" s="1"/>
  <c r="P28" i="18" a="1"/>
  <c r="P28" i="18" s="1"/>
  <c r="R28" i="18" s="1"/>
  <c r="U28" i="18" s="1"/>
  <c r="P20" i="18" a="1"/>
  <c r="P20" i="18" s="1"/>
  <c r="R20" i="18" s="1"/>
  <c r="U20" i="18" s="1"/>
  <c r="P12" i="18" a="1"/>
  <c r="P12" i="18" s="1"/>
  <c r="R12" i="18" s="1"/>
  <c r="U12" i="18" s="1"/>
  <c r="P4" i="18" a="1"/>
  <c r="P4" i="18" s="1"/>
  <c r="R4" i="18" s="1"/>
  <c r="U4" i="18" s="1"/>
  <c r="O23" i="18" a="1"/>
  <c r="O23" i="18" s="1"/>
  <c r="O15" i="18" a="1"/>
  <c r="O15" i="18" s="1"/>
  <c r="O7" i="18" a="1"/>
  <c r="O7" i="18" s="1"/>
  <c r="T34" i="18" a="1"/>
  <c r="T34" i="18" s="1"/>
  <c r="T33" i="18" a="1"/>
  <c r="T33" i="18" s="1"/>
  <c r="T9" i="18" a="1"/>
  <c r="T9" i="18" s="1"/>
  <c r="S20" i="18" a="1"/>
  <c r="S20" i="18" s="1"/>
  <c r="S12" i="18" a="1"/>
  <c r="S12" i="18" s="1"/>
  <c r="S4" i="18" a="1"/>
  <c r="S4" i="18" s="1"/>
  <c r="T26" i="18" a="1"/>
  <c r="T26" i="18" s="1"/>
  <c r="P36" i="18" a="1"/>
  <c r="P36" i="18" s="1"/>
  <c r="R36" i="18" s="1"/>
  <c r="U36" i="18" s="1"/>
  <c r="T25" i="18" a="1"/>
  <c r="T25" i="18" s="1"/>
  <c r="T17" i="18" a="1"/>
  <c r="T17" i="18" s="1"/>
  <c r="S36" i="18" a="1"/>
  <c r="S36" i="18" s="1"/>
  <c r="S28" i="18" a="1"/>
  <c r="S28" i="18" s="1"/>
  <c r="P35" i="18" a="1"/>
  <c r="P35" i="18" s="1"/>
  <c r="R35" i="18" s="1"/>
  <c r="U35" i="18" s="1"/>
  <c r="P27" i="18" a="1"/>
  <c r="P27" i="18" s="1"/>
  <c r="R27" i="18" s="1"/>
  <c r="U27" i="18" s="1"/>
  <c r="P19" i="18" a="1"/>
  <c r="P19" i="18" s="1"/>
  <c r="R19" i="18" s="1"/>
  <c r="U19" i="18" s="1"/>
  <c r="P11" i="18" a="1"/>
  <c r="P11" i="18" s="1"/>
  <c r="R11" i="18" s="1"/>
  <c r="U11" i="18" s="1"/>
  <c r="P3" i="18" a="1"/>
  <c r="P3" i="18" s="1"/>
  <c r="R3" i="18" s="1"/>
  <c r="U3" i="18" s="1"/>
  <c r="O14" i="18" a="1"/>
  <c r="O14" i="18" s="1"/>
  <c r="T16" i="18" a="1"/>
  <c r="T16" i="18" s="1"/>
  <c r="T8" i="18" a="1"/>
  <c r="T8" i="18" s="1"/>
  <c r="S35" i="18" a="1"/>
  <c r="S35" i="18" s="1"/>
  <c r="S27" i="18" a="1"/>
  <c r="S27" i="18" s="1"/>
  <c r="S11" i="18" a="1"/>
  <c r="S11" i="18" s="1"/>
  <c r="V6" i="17" a="1"/>
  <c r="V6" i="17" s="1"/>
  <c r="V7" i="17" a="1"/>
  <c r="V7" i="17" s="1"/>
  <c r="U31" i="17" a="1"/>
  <c r="U31" i="17" s="1"/>
  <c r="T17" i="17" a="1"/>
  <c r="T17" i="17" s="1"/>
  <c r="N13" i="17" a="1"/>
  <c r="N13" i="17" s="1"/>
  <c r="V24" i="17" a="1"/>
  <c r="V24" i="17" s="1"/>
  <c r="O16" i="17" a="1"/>
  <c r="O16" i="17" s="1"/>
  <c r="Q16" i="17" s="1"/>
  <c r="W16" i="17" s="1"/>
  <c r="V15" i="17" a="1"/>
  <c r="V15" i="17" s="1"/>
  <c r="X20" i="17" a="1"/>
  <c r="X20" i="17" s="1"/>
  <c r="Y20" i="17" s="1"/>
  <c r="V4" i="17" a="1"/>
  <c r="V4" i="17" s="1"/>
  <c r="V45" i="17" a="1"/>
  <c r="V45" i="17" s="1"/>
  <c r="V14" i="17" a="1"/>
  <c r="V14" i="17" s="1"/>
  <c r="V12" i="17" a="1"/>
  <c r="V12" i="17" s="1"/>
  <c r="U34" i="17" a="1"/>
  <c r="U34" i="17" s="1"/>
  <c r="U12" i="17" a="1"/>
  <c r="U12" i="17" s="1"/>
  <c r="R24" i="17" a="1"/>
  <c r="R24" i="17" s="1"/>
  <c r="N4" i="17" a="1"/>
  <c r="N4" i="17" s="1"/>
  <c r="X44" i="17" a="1"/>
  <c r="X44" i="17" s="1"/>
  <c r="Y44" i="17" s="1"/>
  <c r="X32" i="17" a="1"/>
  <c r="X32" i="17" s="1"/>
  <c r="Y32" i="17" s="1"/>
  <c r="V11" i="17" a="1"/>
  <c r="V11" i="17" s="1"/>
  <c r="V9" i="17" a="1"/>
  <c r="V9" i="17" s="1"/>
  <c r="U33" i="17" a="1"/>
  <c r="U33" i="17" s="1"/>
  <c r="U7" i="17" a="1"/>
  <c r="U7" i="17" s="1"/>
  <c r="S22" i="17" a="1"/>
  <c r="S22" i="17" s="1"/>
  <c r="O24" i="17" a="1"/>
  <c r="O24" i="17" s="1"/>
  <c r="X19" i="17" a="1"/>
  <c r="X19" i="17" s="1"/>
  <c r="Y19" i="17" s="1"/>
  <c r="U30" i="17" a="1"/>
  <c r="U30" i="17" s="1"/>
  <c r="S2" i="17" a="1"/>
  <c r="S2" i="17" s="1"/>
  <c r="O19" i="17" a="1"/>
  <c r="O19" i="17" s="1"/>
  <c r="N17" i="17" a="1"/>
  <c r="N17" i="17" s="1"/>
  <c r="S45" i="17" a="1"/>
  <c r="S45" i="17" s="1"/>
  <c r="U45" i="17" a="1"/>
  <c r="U45" i="17" s="1"/>
  <c r="O45" i="17" a="1"/>
  <c r="O45" i="17" s="1"/>
  <c r="X45" i="17" a="1"/>
  <c r="X45" i="17" s="1"/>
  <c r="R45" i="17" a="1"/>
  <c r="R45" i="17" s="1"/>
  <c r="S5" i="17" a="1"/>
  <c r="S5" i="17" s="1"/>
  <c r="U5" i="17" a="1"/>
  <c r="U5" i="17" s="1"/>
  <c r="O5" i="17" a="1"/>
  <c r="O5" i="17" s="1"/>
  <c r="X5" i="17" a="1"/>
  <c r="X5" i="17" s="1"/>
  <c r="Y5" i="17" s="1"/>
  <c r="R5" i="17" a="1"/>
  <c r="R5" i="17" s="1"/>
  <c r="T29" i="17" a="1"/>
  <c r="T29" i="17" s="1"/>
  <c r="T11" i="17" a="1"/>
  <c r="T11" i="17" s="1"/>
  <c r="U2" i="17" a="1"/>
  <c r="U2" i="17" s="1"/>
  <c r="U22" i="17" a="1"/>
  <c r="U22" i="17" s="1"/>
  <c r="U27" i="17" a="1"/>
  <c r="U27" i="17" s="1"/>
  <c r="U32" i="17" a="1"/>
  <c r="U32" i="17" s="1"/>
  <c r="U42" i="17" a="1"/>
  <c r="U42" i="17" s="1"/>
  <c r="X22" i="17" a="1"/>
  <c r="X22" i="17" s="1"/>
  <c r="Y22" i="17" s="1"/>
  <c r="X27" i="17" a="1"/>
  <c r="X27" i="17" s="1"/>
  <c r="Y27" i="17" s="1"/>
  <c r="S13" i="17" a="1"/>
  <c r="S13" i="17" s="1"/>
  <c r="S40" i="17" a="1"/>
  <c r="S40" i="17" s="1"/>
  <c r="T20" i="17" a="1"/>
  <c r="T20" i="17" s="1"/>
  <c r="T25" i="17" a="1"/>
  <c r="T25" i="17" s="1"/>
  <c r="T30" i="17" a="1"/>
  <c r="T30" i="17" s="1"/>
  <c r="T35" i="17" a="1"/>
  <c r="T35" i="17" s="1"/>
  <c r="T16" i="17" a="1"/>
  <c r="T16" i="17" s="1"/>
  <c r="O28" i="17" a="1"/>
  <c r="O28" i="17" s="1"/>
  <c r="O33" i="17" a="1"/>
  <c r="O33" i="17" s="1"/>
  <c r="O38" i="17" a="1"/>
  <c r="O38" i="17" s="1"/>
  <c r="O43" i="17" a="1"/>
  <c r="O43" i="17" s="1"/>
  <c r="X7" i="17" a="1"/>
  <c r="X7" i="17" s="1"/>
  <c r="Y7" i="17" s="1"/>
  <c r="X3" i="17" a="1"/>
  <c r="X3" i="17" s="1"/>
  <c r="Y3" i="17" s="1"/>
  <c r="X28" i="17" a="1"/>
  <c r="X28" i="17" s="1"/>
  <c r="Y28" i="17" s="1"/>
  <c r="S14" i="17" a="1"/>
  <c r="S14" i="17" s="1"/>
  <c r="S6" i="17" a="1"/>
  <c r="S6" i="17" s="1"/>
  <c r="T21" i="17" a="1"/>
  <c r="T21" i="17" s="1"/>
  <c r="T26" i="17" a="1"/>
  <c r="T26" i="17" s="1"/>
  <c r="T31" i="17" a="1"/>
  <c r="T31" i="17" s="1"/>
  <c r="T36" i="17" a="1"/>
  <c r="T36" i="17" s="1"/>
  <c r="T41" i="17" a="1"/>
  <c r="T41" i="17" s="1"/>
  <c r="O44" i="17" a="1"/>
  <c r="O44" i="17" s="1"/>
  <c r="X12" i="17" a="1"/>
  <c r="X12" i="17" s="1"/>
  <c r="Y12" i="17" s="1"/>
  <c r="X8" i="17" a="1"/>
  <c r="X8" i="17" s="1"/>
  <c r="Y8" i="17" s="1"/>
  <c r="X4" i="17" a="1"/>
  <c r="X4" i="17" s="1"/>
  <c r="Y4" i="17" s="1"/>
  <c r="X34" i="17" a="1"/>
  <c r="X34" i="17" s="1"/>
  <c r="Y34" i="17" s="1"/>
  <c r="X39" i="17" a="1"/>
  <c r="X39" i="17" s="1"/>
  <c r="Y39" i="17" s="1"/>
  <c r="U13" i="17" a="1"/>
  <c r="U13" i="17" s="1"/>
  <c r="U40" i="17" a="1"/>
  <c r="U40" i="17" s="1"/>
  <c r="V20" i="17" a="1"/>
  <c r="V20" i="17" s="1"/>
  <c r="V25" i="17" a="1"/>
  <c r="V25" i="17" s="1"/>
  <c r="V30" i="17" a="1"/>
  <c r="V30" i="17" s="1"/>
  <c r="V35" i="17" a="1"/>
  <c r="V35" i="17" s="1"/>
  <c r="V16" i="17" a="1"/>
  <c r="V16" i="17" s="1"/>
  <c r="U19" i="17" a="1"/>
  <c r="U19" i="17" s="1"/>
  <c r="V2" i="17" a="1"/>
  <c r="V2" i="17" s="1"/>
  <c r="V42" i="17" a="1"/>
  <c r="V42" i="17" s="1"/>
  <c r="O13" i="17" a="1"/>
  <c r="O13" i="17" s="1"/>
  <c r="X17" i="17" a="1"/>
  <c r="X17" i="17" s="1"/>
  <c r="Y17" i="17" s="1"/>
  <c r="X13" i="17" a="1"/>
  <c r="X13" i="17" s="1"/>
  <c r="Y13" i="17" s="1"/>
  <c r="X9" i="17" a="1"/>
  <c r="X9" i="17" s="1"/>
  <c r="Y9" i="17" s="1"/>
  <c r="X40" i="17" a="1"/>
  <c r="X40" i="17" s="1"/>
  <c r="Y40" i="17" s="1"/>
  <c r="T34" i="17" a="1"/>
  <c r="T34" i="17" s="1"/>
  <c r="V22" i="17" a="1"/>
  <c r="V22" i="17" s="1"/>
  <c r="R13" i="17" a="1"/>
  <c r="R13" i="17" s="1"/>
  <c r="V21" i="17" a="1"/>
  <c r="V21" i="17" s="1"/>
  <c r="V26" i="17" a="1"/>
  <c r="V26" i="17" s="1"/>
  <c r="V31" i="17" a="1"/>
  <c r="V31" i="17" s="1"/>
  <c r="V36" i="17" a="1"/>
  <c r="V36" i="17" s="1"/>
  <c r="V41" i="17" a="1"/>
  <c r="V41" i="17" s="1"/>
  <c r="S31" i="17" a="1"/>
  <c r="S31" i="17" s="1"/>
  <c r="S41" i="17" a="1"/>
  <c r="S41" i="17" s="1"/>
  <c r="T4" i="17" a="1"/>
  <c r="T4" i="17" s="1"/>
  <c r="T44" i="17" a="1"/>
  <c r="T44" i="17" s="1"/>
  <c r="U29" i="17" a="1"/>
  <c r="U29" i="17" s="1"/>
  <c r="V27" i="17" a="1"/>
  <c r="V27" i="17" s="1"/>
  <c r="V37" i="17" a="1"/>
  <c r="V37" i="17" s="1"/>
  <c r="R18" i="17" a="1"/>
  <c r="R18" i="17" s="1"/>
  <c r="R14" i="17" a="1"/>
  <c r="R14" i="17" s="1"/>
  <c r="R6" i="17" a="1"/>
  <c r="R6" i="17" s="1"/>
  <c r="S21" i="17" a="1"/>
  <c r="S21" i="17" s="1"/>
  <c r="S26" i="17" a="1"/>
  <c r="S26" i="17" s="1"/>
  <c r="S36" i="17" a="1"/>
  <c r="S36" i="17" s="1"/>
  <c r="T12" i="17" a="1"/>
  <c r="T12" i="17" s="1"/>
  <c r="T8" i="17" a="1"/>
  <c r="T8" i="17" s="1"/>
  <c r="T39" i="17" a="1"/>
  <c r="T39" i="17" s="1"/>
  <c r="U11" i="17" a="1"/>
  <c r="U11" i="17" s="1"/>
  <c r="V32" i="17" a="1"/>
  <c r="V32" i="17" s="1"/>
  <c r="S38" i="17" a="1"/>
  <c r="S38" i="17" s="1"/>
  <c r="S43" i="17" a="1"/>
  <c r="S43" i="17" s="1"/>
  <c r="T18" i="17" a="1"/>
  <c r="T18" i="17" s="1"/>
  <c r="T14" i="17" a="1"/>
  <c r="T14" i="17" s="1"/>
  <c r="T6" i="17" a="1"/>
  <c r="T6" i="17" s="1"/>
  <c r="U21" i="17" a="1"/>
  <c r="U21" i="17" s="1"/>
  <c r="U26" i="17" a="1"/>
  <c r="U26" i="17" s="1"/>
  <c r="X21" i="17" a="1"/>
  <c r="X21" i="17" s="1"/>
  <c r="Y21" i="17" s="1"/>
  <c r="X26" i="17" a="1"/>
  <c r="X26" i="17" s="1"/>
  <c r="Y26" i="17" s="1"/>
  <c r="X31" i="17" a="1"/>
  <c r="X31" i="17" s="1"/>
  <c r="Y31" i="17" s="1"/>
  <c r="X36" i="17" a="1"/>
  <c r="X36" i="17" s="1"/>
  <c r="Y36" i="17" s="1"/>
  <c r="X41" i="17" a="1"/>
  <c r="X41" i="17" s="1"/>
  <c r="Y41" i="17" s="1"/>
  <c r="U37" i="17" a="1"/>
  <c r="U37" i="17" s="1"/>
  <c r="T45" i="17" a="1"/>
  <c r="T45" i="17" s="1"/>
  <c r="V28" i="17" a="1"/>
  <c r="V28" i="17" s="1"/>
  <c r="N45" i="17" a="1"/>
  <c r="N45" i="17" s="1"/>
  <c r="S44" i="17" a="1"/>
  <c r="S44" i="17" s="1"/>
  <c r="S34" i="17" a="1"/>
  <c r="S34" i="17" s="1"/>
  <c r="R26" i="17" a="1"/>
  <c r="R26" i="17" s="1"/>
  <c r="X11" i="17" a="1"/>
  <c r="X11" i="17" s="1"/>
  <c r="Y11" i="17" s="1"/>
  <c r="U43" i="17" a="1"/>
  <c r="U43" i="17" s="1"/>
  <c r="X29" i="17" a="1"/>
  <c r="X29" i="17" s="1"/>
  <c r="Y29" i="17" s="1"/>
  <c r="U4" i="17" a="1"/>
  <c r="U4" i="17" s="1"/>
  <c r="N12" i="17" a="1"/>
  <c r="N12" i="17" s="1"/>
  <c r="V40" i="17" a="1"/>
  <c r="V40" i="17" s="1"/>
  <c r="N8" i="17" a="1"/>
  <c r="N8" i="17" s="1"/>
  <c r="S46" i="17" a="1"/>
  <c r="S46" i="17" s="1"/>
  <c r="U46" i="17" a="1"/>
  <c r="U46" i="17" s="1"/>
  <c r="O46" i="17" a="1"/>
  <c r="O46" i="17" s="1"/>
  <c r="X46" i="17" a="1"/>
  <c r="X46" i="17" s="1"/>
  <c r="Y46" i="17" s="1"/>
  <c r="R46" i="17" a="1"/>
  <c r="R46" i="17" s="1"/>
  <c r="T46" i="17" a="1"/>
  <c r="T46" i="17" s="1"/>
  <c r="N46" i="17" a="1"/>
  <c r="N46" i="17" s="1"/>
  <c r="S10" i="17" a="1"/>
  <c r="S10" i="17" s="1"/>
  <c r="U10" i="17" a="1"/>
  <c r="U10" i="17" s="1"/>
  <c r="O10" i="17" a="1"/>
  <c r="O10" i="17" s="1"/>
  <c r="X10" i="17" a="1"/>
  <c r="X10" i="17" s="1"/>
  <c r="R10" i="17" a="1"/>
  <c r="R10" i="17" s="1"/>
  <c r="T10" i="17" a="1"/>
  <c r="T10" i="17" s="1"/>
  <c r="N10" i="17" a="1"/>
  <c r="N10" i="17" s="1"/>
  <c r="S23" i="17" a="1"/>
  <c r="S23" i="17" s="1"/>
  <c r="U23" i="17" a="1"/>
  <c r="U23" i="17" s="1"/>
  <c r="O23" i="17" a="1"/>
  <c r="O23" i="17" s="1"/>
  <c r="X23" i="17" a="1"/>
  <c r="X23" i="17" s="1"/>
  <c r="Y23" i="17" s="1"/>
  <c r="Q23" i="17" s="1"/>
  <c r="W23" i="17" s="1"/>
  <c r="R23" i="17" a="1"/>
  <c r="R23" i="17" s="1"/>
  <c r="T23" i="17" a="1"/>
  <c r="T23" i="17" s="1"/>
  <c r="N23" i="17" a="1"/>
  <c r="N23" i="17" s="1"/>
  <c r="U44" i="17" a="1"/>
  <c r="U44" i="17" s="1"/>
  <c r="S42" i="17" a="1"/>
  <c r="S42" i="17" s="1"/>
  <c r="X38" i="17" a="1"/>
  <c r="X38" i="17" s="1"/>
  <c r="Y38" i="17" s="1"/>
  <c r="Q38" i="17" s="1"/>
  <c r="W38" i="17" s="1"/>
  <c r="V38" i="17" a="1"/>
  <c r="V38" i="17" s="1"/>
  <c r="U41" i="17" a="1"/>
  <c r="U41" i="17" s="1"/>
  <c r="T40" i="17" a="1"/>
  <c r="T40" i="17" s="1"/>
  <c r="V23" i="17" a="1"/>
  <c r="V23" i="17" s="1"/>
  <c r="U28" i="17" a="1"/>
  <c r="U28" i="17" s="1"/>
  <c r="R11" i="17" a="1"/>
  <c r="R11" i="17" s="1"/>
  <c r="N44" i="17" a="1"/>
  <c r="N44" i="17" s="1"/>
  <c r="O20" i="17" a="1"/>
  <c r="O20" i="17" s="1"/>
  <c r="Q20" i="17" s="1"/>
  <c r="W20" i="17" s="1"/>
  <c r="T24" i="17" a="1"/>
  <c r="T24" i="17" s="1"/>
  <c r="N24" i="17" a="1"/>
  <c r="N24" i="17" s="1"/>
  <c r="S24" i="17" a="1"/>
  <c r="S24" i="17" s="1"/>
  <c r="U24" i="17" a="1"/>
  <c r="U24" i="17" s="1"/>
  <c r="X30" i="17" a="1"/>
  <c r="X30" i="17" s="1"/>
  <c r="Y30" i="17" s="1"/>
  <c r="V13" i="17" a="1"/>
  <c r="V13" i="17" s="1"/>
  <c r="U16" i="17" a="1"/>
  <c r="U16" i="17" s="1"/>
  <c r="S37" i="17" a="1"/>
  <c r="S37" i="17" s="1"/>
  <c r="O11" i="17" a="1"/>
  <c r="O11" i="17" s="1"/>
  <c r="N40" i="17" a="1"/>
  <c r="N40" i="17" s="1"/>
  <c r="Y45" i="17"/>
  <c r="Q45" i="17" s="1"/>
  <c r="W45" i="17"/>
  <c r="R19" i="17" a="1"/>
  <c r="R19" i="17" s="1"/>
  <c r="X37" i="17" a="1"/>
  <c r="X37" i="17" s="1"/>
  <c r="Y37" i="17" s="1"/>
  <c r="V10" i="17" a="1"/>
  <c r="V10" i="17" s="1"/>
  <c r="V8" i="17" a="1"/>
  <c r="V8" i="17" s="1"/>
  <c r="U25" i="17" a="1"/>
  <c r="U25" i="17" s="1"/>
  <c r="T5" i="17" a="1"/>
  <c r="T5" i="17" s="1"/>
  <c r="O35" i="17" a="1"/>
  <c r="O35" i="17" s="1"/>
  <c r="T15" i="17" a="1"/>
  <c r="T15" i="17" s="1"/>
  <c r="N15" i="17" a="1"/>
  <c r="N15" i="17" s="1"/>
  <c r="S15" i="17" a="1"/>
  <c r="S15" i="17" s="1"/>
  <c r="U15" i="17" a="1"/>
  <c r="U15" i="17" s="1"/>
  <c r="V39" i="17" a="1"/>
  <c r="V39" i="17" s="1"/>
  <c r="V5" i="17" a="1"/>
  <c r="V5" i="17" s="1"/>
  <c r="U39" i="17" a="1"/>
  <c r="U39" i="17" s="1"/>
  <c r="R15" i="17" a="1"/>
  <c r="R15" i="17" s="1"/>
  <c r="N39" i="17" a="1"/>
  <c r="N39" i="17" s="1"/>
  <c r="N29" i="17" a="1"/>
  <c r="N29" i="17" s="1"/>
  <c r="N19" i="17" a="1"/>
  <c r="N19" i="17" s="1"/>
  <c r="X25" i="17" a="1"/>
  <c r="X25" i="17" s="1"/>
  <c r="V3" i="17" a="1"/>
  <c r="V3" i="17" s="1"/>
  <c r="U38" i="17" a="1"/>
  <c r="U38" i="17" s="1"/>
  <c r="U8" i="17" a="1"/>
  <c r="U8" i="17" s="1"/>
  <c r="S32" i="17" a="1"/>
  <c r="S32" i="17" s="1"/>
  <c r="O15" i="17" a="1"/>
  <c r="O15" i="17" s="1"/>
  <c r="N5" i="17" a="1"/>
  <c r="N5" i="17" s="1"/>
  <c r="N11" i="17" a="1"/>
  <c r="N11" i="17" s="1"/>
  <c r="V34" i="17" a="1"/>
  <c r="V34" i="17" s="1"/>
  <c r="U3" i="17" a="1"/>
  <c r="U3" i="17" s="1"/>
  <c r="T9" i="17" a="1"/>
  <c r="T9" i="17" s="1"/>
  <c r="O30" i="17" a="1"/>
  <c r="O30" i="17" s="1"/>
  <c r="Y10" i="17"/>
  <c r="Q10" i="17" s="1"/>
  <c r="W10" i="17" s="1"/>
  <c r="R40" i="17" a="1"/>
  <c r="R40" i="17" s="1"/>
  <c r="R9" i="17" a="1"/>
  <c r="R9" i="17" s="1"/>
  <c r="R21" i="17" a="1"/>
  <c r="R21" i="17" s="1"/>
  <c r="X35" i="17" a="1"/>
  <c r="X35" i="17" s="1"/>
  <c r="Y35" i="17" s="1"/>
  <c r="Q35" i="17" s="1"/>
  <c r="W35" i="17" s="1"/>
  <c r="X43" i="17" a="1"/>
  <c r="X43" i="17" s="1"/>
  <c r="Y43" i="17" s="1"/>
  <c r="X15" i="17" a="1"/>
  <c r="X15" i="17" s="1"/>
  <c r="Y15" i="17" s="1"/>
  <c r="X24" i="17" a="1"/>
  <c r="X24" i="17" s="1"/>
  <c r="Y24" i="17" s="1"/>
  <c r="Q24" i="17" s="1"/>
  <c r="W24" i="17" s="1"/>
  <c r="V44" i="17" a="1"/>
  <c r="V44" i="17" s="1"/>
  <c r="V33" i="17" a="1"/>
  <c r="V33" i="17" s="1"/>
  <c r="V19" i="17" a="1"/>
  <c r="V19" i="17" s="1"/>
  <c r="R29" i="17" a="1"/>
  <c r="R29" i="17" s="1"/>
  <c r="N34" i="17" a="1"/>
  <c r="N34" i="17" s="1"/>
  <c r="V46" i="17" a="1"/>
  <c r="V46" i="17" s="1"/>
  <c r="V18" i="17" a="1"/>
  <c r="V18" i="17" s="1"/>
  <c r="U35" i="17" a="1"/>
  <c r="U35" i="17" s="1"/>
  <c r="U20" i="17" a="1"/>
  <c r="U20" i="17" s="1"/>
  <c r="S27" i="17" a="1"/>
  <c r="S27" i="17" s="1"/>
  <c r="O29" i="17" a="1"/>
  <c r="O29" i="17" s="1"/>
  <c r="N9" i="17" a="1"/>
  <c r="N9" i="17" s="1"/>
  <c r="U36" i="17" a="1"/>
  <c r="U36" i="17" s="1"/>
  <c r="X42" i="17" a="1"/>
  <c r="X42" i="17" s="1"/>
  <c r="Y42" i="17" s="1"/>
  <c r="X33" i="17" a="1"/>
  <c r="X33" i="17" s="1"/>
  <c r="Y33" i="17" s="1"/>
  <c r="Q33" i="17" s="1"/>
  <c r="W33" i="17" s="1"/>
  <c r="V43" i="17" a="1"/>
  <c r="V43" i="17" s="1"/>
  <c r="V29" i="17" a="1"/>
  <c r="V29" i="17" s="1"/>
  <c r="V17" i="17" a="1"/>
  <c r="V17" i="17" s="1"/>
  <c r="T13" i="17" a="1"/>
  <c r="T13" i="17" s="1"/>
  <c r="O25" i="17" a="1"/>
  <c r="O25" i="17" s="1"/>
  <c r="Y25" i="17"/>
  <c r="O41" i="17" a="1"/>
  <c r="O41" i="17" s="1"/>
  <c r="O36" i="17" a="1"/>
  <c r="O36" i="17" s="1"/>
  <c r="O31" i="17" a="1"/>
  <c r="O31" i="17" s="1"/>
  <c r="O26" i="17" a="1"/>
  <c r="O26" i="17" s="1"/>
  <c r="O21" i="17" a="1"/>
  <c r="O21" i="17" s="1"/>
  <c r="N6" i="17" a="1"/>
  <c r="N6" i="17" s="1"/>
  <c r="N14" i="17" a="1"/>
  <c r="N14" i="17" s="1"/>
  <c r="N18" i="17" a="1"/>
  <c r="N18" i="17" s="1"/>
  <c r="S33" i="17" a="1"/>
  <c r="S33" i="17" s="1"/>
  <c r="S28" i="17" a="1"/>
  <c r="S28" i="17" s="1"/>
  <c r="S3" i="17" a="1"/>
  <c r="S3" i="17" s="1"/>
  <c r="S7" i="17" a="1"/>
  <c r="S7" i="17" s="1"/>
  <c r="R16" i="17" a="1"/>
  <c r="R16" i="17" s="1"/>
  <c r="R35" i="17" a="1"/>
  <c r="R35" i="17" s="1"/>
  <c r="R30" i="17" a="1"/>
  <c r="R30" i="17" s="1"/>
  <c r="R25" i="17" a="1"/>
  <c r="R25" i="17" s="1"/>
  <c r="R20" i="17" a="1"/>
  <c r="R20" i="17" s="1"/>
  <c r="X6" i="17" a="1"/>
  <c r="X6" i="17" s="1"/>
  <c r="Y6" i="17" s="1"/>
  <c r="X14" i="17" a="1"/>
  <c r="X14" i="17" s="1"/>
  <c r="Y14" i="17" s="1"/>
  <c r="X18" i="17" a="1"/>
  <c r="X18" i="17" s="1"/>
  <c r="Y18" i="17" s="1"/>
  <c r="O6" i="17" a="1"/>
  <c r="O6" i="17" s="1"/>
  <c r="O14" i="17" a="1"/>
  <c r="O14" i="17" s="1"/>
  <c r="O18" i="17" a="1"/>
  <c r="O18" i="17" s="1"/>
  <c r="N43" i="17" a="1"/>
  <c r="N43" i="17" s="1"/>
  <c r="N38" i="17" a="1"/>
  <c r="N38" i="17" s="1"/>
  <c r="N33" i="17" a="1"/>
  <c r="N33" i="17" s="1"/>
  <c r="N28" i="17" a="1"/>
  <c r="N28" i="17" s="1"/>
  <c r="N3" i="17" a="1"/>
  <c r="N3" i="17" s="1"/>
  <c r="N7" i="17" a="1"/>
  <c r="N7" i="17" s="1"/>
  <c r="U6" i="17" a="1"/>
  <c r="U6" i="17" s="1"/>
  <c r="U14" i="17" a="1"/>
  <c r="U14" i="17" s="1"/>
  <c r="U18" i="17" a="1"/>
  <c r="U18" i="17" s="1"/>
  <c r="T43" i="17" a="1"/>
  <c r="T43" i="17" s="1"/>
  <c r="T38" i="17" a="1"/>
  <c r="T38" i="17" s="1"/>
  <c r="T33" i="17" a="1"/>
  <c r="T33" i="17" s="1"/>
  <c r="T28" i="17" a="1"/>
  <c r="T28" i="17" s="1"/>
  <c r="T3" i="17" a="1"/>
  <c r="T3" i="17" s="1"/>
  <c r="T7" i="17" a="1"/>
  <c r="T7" i="17" s="1"/>
  <c r="S16" i="17" a="1"/>
  <c r="S16" i="17" s="1"/>
  <c r="S35" i="17" a="1"/>
  <c r="S35" i="17" s="1"/>
  <c r="S30" i="17" a="1"/>
  <c r="S30" i="17" s="1"/>
  <c r="S25" i="17" a="1"/>
  <c r="S25" i="17" s="1"/>
  <c r="S20" i="17" a="1"/>
  <c r="S20" i="17" s="1"/>
  <c r="R17" i="17" a="1"/>
  <c r="R17" i="17" s="1"/>
  <c r="O40" i="17" a="1"/>
  <c r="O40" i="17" s="1"/>
  <c r="O9" i="17" a="1"/>
  <c r="O9" i="17" s="1"/>
  <c r="O17" i="17" a="1"/>
  <c r="O17" i="17" s="1"/>
  <c r="N42" i="17" a="1"/>
  <c r="N42" i="17" s="1"/>
  <c r="N37" i="17" a="1"/>
  <c r="N37" i="17" s="1"/>
  <c r="N32" i="17" a="1"/>
  <c r="N32" i="17" s="1"/>
  <c r="N27" i="17" a="1"/>
  <c r="N27" i="17" s="1"/>
  <c r="N22" i="17" a="1"/>
  <c r="N22" i="17" s="1"/>
  <c r="N2" i="17" a="1"/>
  <c r="N2" i="17" s="1"/>
  <c r="U9" i="17" a="1"/>
  <c r="U9" i="17" s="1"/>
  <c r="U17" i="17" a="1"/>
  <c r="U17" i="17" s="1"/>
  <c r="T42" i="17" a="1"/>
  <c r="T42" i="17" s="1"/>
  <c r="T37" i="17" a="1"/>
  <c r="T37" i="17" s="1"/>
  <c r="T32" i="17" a="1"/>
  <c r="T32" i="17" s="1"/>
  <c r="T27" i="17" a="1"/>
  <c r="T27" i="17" s="1"/>
  <c r="T22" i="17" a="1"/>
  <c r="T22" i="17" s="1"/>
  <c r="T2" i="17" a="1"/>
  <c r="T2" i="17" s="1"/>
  <c r="S11" i="17" a="1"/>
  <c r="S11" i="17" s="1"/>
  <c r="S29" i="17" a="1"/>
  <c r="S29" i="17" s="1"/>
  <c r="S19" i="17" a="1"/>
  <c r="S19" i="17" s="1"/>
  <c r="R44" i="17" a="1"/>
  <c r="R44" i="17" s="1"/>
  <c r="R39" i="17" a="1"/>
  <c r="R39" i="17" s="1"/>
  <c r="R34" i="17" a="1"/>
  <c r="R34" i="17" s="1"/>
  <c r="R4" i="17" a="1"/>
  <c r="R4" i="17" s="1"/>
  <c r="R8" i="17" a="1"/>
  <c r="R8" i="17" s="1"/>
  <c r="R12" i="17" a="1"/>
  <c r="R12" i="17" s="1"/>
  <c r="O39" i="17" a="1"/>
  <c r="O39" i="17" s="1"/>
  <c r="O34" i="17" a="1"/>
  <c r="O34" i="17" s="1"/>
  <c r="O4" i="17" a="1"/>
  <c r="O4" i="17" s="1"/>
  <c r="O8" i="17" a="1"/>
  <c r="O8" i="17" s="1"/>
  <c r="O12" i="17" a="1"/>
  <c r="O12" i="17" s="1"/>
  <c r="N41" i="17" a="1"/>
  <c r="N41" i="17" s="1"/>
  <c r="N36" i="17" a="1"/>
  <c r="N36" i="17" s="1"/>
  <c r="N31" i="17" a="1"/>
  <c r="N31" i="17" s="1"/>
  <c r="N26" i="17" a="1"/>
  <c r="N26" i="17" s="1"/>
  <c r="N21" i="17" a="1"/>
  <c r="N21" i="17" s="1"/>
  <c r="S18" i="17" a="1"/>
  <c r="S18" i="17" s="1"/>
  <c r="R43" i="17" a="1"/>
  <c r="R43" i="17" s="1"/>
  <c r="R38" i="17" a="1"/>
  <c r="R38" i="17" s="1"/>
  <c r="R33" i="17" a="1"/>
  <c r="R33" i="17" s="1"/>
  <c r="R28" i="17" a="1"/>
  <c r="R28" i="17" s="1"/>
  <c r="R3" i="17" a="1"/>
  <c r="R3" i="17" s="1"/>
  <c r="R7" i="17" a="1"/>
  <c r="R7" i="17" s="1"/>
  <c r="O3" i="17" a="1"/>
  <c r="O3" i="17" s="1"/>
  <c r="O7" i="17" a="1"/>
  <c r="O7" i="17" s="1"/>
  <c r="N16" i="17" a="1"/>
  <c r="N16" i="17" s="1"/>
  <c r="N35" i="17" a="1"/>
  <c r="N35" i="17" s="1"/>
  <c r="N30" i="17" a="1"/>
  <c r="N30" i="17" s="1"/>
  <c r="N25" i="17" a="1"/>
  <c r="N25" i="17" s="1"/>
  <c r="N20" i="17" a="1"/>
  <c r="N20" i="17" s="1"/>
  <c r="S9" i="17" a="1"/>
  <c r="S9" i="17" s="1"/>
  <c r="S17" i="17" a="1"/>
  <c r="S17" i="17" s="1"/>
  <c r="R42" i="17" a="1"/>
  <c r="R42" i="17" s="1"/>
  <c r="R37" i="17" a="1"/>
  <c r="R37" i="17" s="1"/>
  <c r="R32" i="17" a="1"/>
  <c r="R32" i="17" s="1"/>
  <c r="R27" i="17" a="1"/>
  <c r="R27" i="17" s="1"/>
  <c r="R22" i="17" a="1"/>
  <c r="R22" i="17" s="1"/>
  <c r="R2" i="17" a="1"/>
  <c r="R2" i="17" s="1"/>
  <c r="X2" i="17" a="1"/>
  <c r="X2" i="17" s="1"/>
  <c r="Y2" i="17" s="1"/>
  <c r="Q2" i="17" s="1"/>
  <c r="W2" i="17" s="1"/>
  <c r="O42" i="17" a="1"/>
  <c r="O42" i="17" s="1"/>
  <c r="O37" i="17" a="1"/>
  <c r="O37" i="17" s="1"/>
  <c r="O32" i="17" a="1"/>
  <c r="O32" i="17" s="1"/>
  <c r="O27" i="17" a="1"/>
  <c r="O27" i="17" s="1"/>
  <c r="O22" i="17" a="1"/>
  <c r="O22" i="17" s="1"/>
  <c r="O2" i="17" a="1"/>
  <c r="O2" i="17" s="1"/>
  <c r="T19" i="17" a="1"/>
  <c r="T19" i="17" s="1"/>
  <c r="S39" i="17" a="1"/>
  <c r="S39" i="17" s="1"/>
  <c r="S4" i="17" a="1"/>
  <c r="S4" i="17" s="1"/>
  <c r="S8" i="17" a="1"/>
  <c r="S8" i="17" s="1"/>
  <c r="S12" i="17" a="1"/>
  <c r="S12" i="17" s="1"/>
  <c r="R41" i="17" a="1"/>
  <c r="R41" i="17" s="1"/>
  <c r="R36" i="17" a="1"/>
  <c r="R36" i="17" s="1"/>
  <c r="R31" i="17" a="1"/>
  <c r="R31" i="17" s="1"/>
  <c r="Q43" i="17" l="1"/>
  <c r="W43" i="17" s="1"/>
  <c r="Q26" i="17"/>
  <c r="W26" i="17" s="1"/>
  <c r="Q18" i="17"/>
  <c r="W18" i="17" s="1"/>
  <c r="Q6" i="17"/>
  <c r="W6" i="17" s="1"/>
  <c r="Q46" i="17"/>
  <c r="W46" i="17" s="1"/>
  <c r="Q15" i="17"/>
  <c r="W15" i="17" s="1"/>
  <c r="Q36" i="17"/>
  <c r="W36" i="17" s="1"/>
  <c r="Q31" i="17"/>
  <c r="W31" i="17" s="1"/>
  <c r="Q28" i="17"/>
  <c r="W28" i="17" s="1"/>
  <c r="Q29" i="17"/>
  <c r="W29" i="17" s="1"/>
  <c r="Q14" i="17"/>
  <c r="W14" i="17" s="1"/>
  <c r="Q25" i="17"/>
  <c r="W25" i="17" s="1"/>
  <c r="Q17" i="17"/>
  <c r="W17" i="17" s="1"/>
  <c r="Q12" i="17"/>
  <c r="W12" i="17" s="1"/>
  <c r="Q5" i="17"/>
  <c r="W5" i="17" s="1"/>
  <c r="Q37" i="17"/>
  <c r="W37" i="17" s="1"/>
  <c r="Q41" i="17"/>
  <c r="W41" i="17" s="1"/>
  <c r="Q27" i="17"/>
  <c r="W27" i="17" s="1"/>
  <c r="Q22" i="17"/>
  <c r="W22" i="17" s="1"/>
  <c r="Q42" i="17"/>
  <c r="W42" i="17" s="1"/>
  <c r="Q3" i="17"/>
  <c r="W3" i="17" s="1"/>
  <c r="Q21" i="17"/>
  <c r="W21" i="17" s="1"/>
  <c r="Q7" i="17"/>
  <c r="W7" i="17" s="1"/>
  <c r="Q32" i="17"/>
  <c r="W32" i="17" s="1"/>
  <c r="Q39" i="17"/>
  <c r="W39" i="17" s="1"/>
  <c r="Q44" i="17"/>
  <c r="W44" i="17" s="1"/>
  <c r="Q11" i="17"/>
  <c r="W11" i="17" s="1"/>
  <c r="Q40" i="17"/>
  <c r="W40" i="17" s="1"/>
  <c r="Q34" i="17"/>
  <c r="W34" i="17" s="1"/>
  <c r="Q30" i="17"/>
  <c r="W30" i="17" s="1"/>
  <c r="Q9" i="17"/>
  <c r="W9" i="17" s="1"/>
  <c r="Q4" i="17"/>
  <c r="W4" i="17" s="1"/>
  <c r="Q13" i="17"/>
  <c r="W13" i="17" s="1"/>
  <c r="Q8" i="17"/>
  <c r="W8" i="17" s="1"/>
  <c r="Q19" i="17"/>
  <c r="W19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e:\programming\data-science\model\production\arena\ex2\mm2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e:\programming\data-science\model\production\arena\ex2\mm2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e:\programming\data-science\model\production\arena\ex2\mm2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e:\programming\data-science\model\production\arena\ex2\mm2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e:\programming\data-science\model\production\arena\ex2\mm2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e:\programming\data-science\model\production\arena\ex2\mm2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<sst xmlns="http://schemas.openxmlformats.org/spreadsheetml/2006/main" count="749" uniqueCount="101">
  <si>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</si>
  <si>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</si>
  <si>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</si>
  <si>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</si>
  <si>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</si>
  <si>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</si>
  <si>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</si>
  <si>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</si>
  <si>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</si>
  <si>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</si>
  <si>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</si>
  <si>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</si>
  <si>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</si>
  <si>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</si>
  <si>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</si>
  <si>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</si>
  <si>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</si>
  <si>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</si>
  <si>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</si>
  <si>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</si>
  <si>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</si>
  <si>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</si>
  <si>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</si>
  <si>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</si>
  <si>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</si>
  <si>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</si>
  <si>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</si>
  <si>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</si>
  <si>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</si>
  <si>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</si>
  <si>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</si>
  <si>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</si>
  <si>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</si>
  <si>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</si>
  <si>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</si>
  <si>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</si>
  <si>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</si>
  <si>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</si>
  <si>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</si>
  <si>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</si>
  <si>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</si>
  <si>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</si>
  <si>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</si>
  <si>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</si>
  <si>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</si>
  <si>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</si>
  <si>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</si>
  <si>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</si>
  <si>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</si>
  <si>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</si>
  <si>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</si>
  <si>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</si>
  <si>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</si>
  <si>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</si>
  <si>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</si>
  <si>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</si>
  <si>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</si>
  <si>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</si>
  <si>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</si>
  <si>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</si>
  <si>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</si>
  <si>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</si>
  <si>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</si>
  <si>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</si>
  <si>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</si>
  <si>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</si>
  <si>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</si>
  <si>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</si>
  <si>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E:\programming\Data-Science\model\production\Arena\Ex2\MM2.p</t>
  </si>
  <si>
    <t>2025-04-26 17:21:25</t>
  </si>
  <si>
    <t>Hold 1.Queue</t>
  </si>
  <si>
    <t>Waiting Time</t>
  </si>
  <si>
    <t>Queue</t>
  </si>
  <si>
    <t>M1.Queue</t>
  </si>
  <si>
    <t>M2.Queue</t>
  </si>
  <si>
    <t>Part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</si>
  <si>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</si>
  <si>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</si>
  <si>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</si>
  <si>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</si>
  <si>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</si>
  <si>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</si>
  <si>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</si>
  <si>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Number Waiting</t>
  </si>
  <si>
    <t>Machine</t>
  </si>
  <si>
    <t>Instantaneous Utilization</t>
  </si>
  <si>
    <t>Resource</t>
  </si>
  <si>
    <t>Number Busy</t>
  </si>
  <si>
    <t>Number Scheduled</t>
  </si>
  <si>
    <t>WIP</t>
  </si>
  <si>
    <t>Machine.NumberSeized</t>
  </si>
  <si>
    <t>Total Number Seized</t>
  </si>
  <si>
    <t>Machine.ScheduledUtilization</t>
  </si>
  <si>
    <t>Scheduled Utilization</t>
  </si>
  <si>
    <t>Part.NumberIn</t>
  </si>
  <si>
    <t>Number In</t>
  </si>
  <si>
    <t>Part.NumberOut</t>
  </si>
  <si>
    <t>Number Out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</si>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</sst>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1">
    <dxf>
      <numFmt numFmtId="176" formatCode="[=400000000000000000000]&quot;Null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numFmt numFmtId="178" formatCode="[=300000000000000000000]&quot;Correlated&quot;;;"/>
    </dxf>
    <dxf>
      <numFmt numFmtId="179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77" formatCode="[=400000000000000000000]&quot;NoCalc&quot;;;"/>
    </dxf>
    <dxf>
      <numFmt numFmtId="179" formatCode="[=200000000000000000000]&quot;Insufficient&quot;;;"/>
    </dxf>
    <dxf>
      <numFmt numFmtId="178" formatCode="[=300000000000000000000]&quot;Correlated&quot;;;"/>
    </dxf>
    <dxf>
      <numFmt numFmtId="180" formatCode="[=1]&quot;Yes&quot;;;"/>
    </dxf>
    <dxf>
      <numFmt numFmtId="180" formatCode="[=1]&quot;Yes&quot;;;"/>
    </dxf>
    <dxf>
      <numFmt numFmtId="181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82" formatCode="[&gt;100]&quot;Null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80" formatCode="[=1]&quot;Yes&quot;;;"/>
      <border>
        <left/>
        <right/>
        <top/>
        <bottom/>
      </border>
    </dxf>
    <dxf>
      <numFmt numFmtId="181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9" formatCode="[=200000000000000000000]&quot;Insufficient&quot;;;"/>
    </dxf>
    <dxf>
      <numFmt numFmtId="179" formatCode="[=200000000000000000000]&quot;Insufficient&quot;;;"/>
    </dxf>
    <dxf>
      <numFmt numFmtId="183" formatCode="[=4]&quot;Days&quot;;;"/>
    </dxf>
    <dxf>
      <numFmt numFmtId="184" formatCode="[=1]&quot;Seconds&quot;;;"/>
    </dxf>
    <dxf>
      <numFmt numFmtId="185" formatCode="[=2]&quot;Minutes&quot;;;"/>
    </dxf>
    <dxf>
      <numFmt numFmtId="186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723299421297" createdVersion="7" refreshedVersion="8" minRefreshableVersion="3" recordCount="45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03">
        <s v="Hold 1.Queue"/>
        <s v="M1.Queue"/>
        <s v="M2.Queue"/>
        <s v="Part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23.944518833858901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9.5127333404721792"/>
    </cacheField>
    <cacheField name="Maximum" numFmtId="0">
      <sharedItems containsSemiMixedTypes="0" containsString="0" containsNumber="1" minValue="0" maxValue="44.004094279671698"/>
    </cacheField>
    <cacheField name="NumberObservations" numFmtId="0">
      <sharedItems containsSemiMixedTypes="0" containsString="0" containsNumber="1" containsInteger="1" minValue="17" maxValue="5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" maxValue="21.45310600011474"/>
    </cacheField>
    <cacheField name="StDevOfAverage" numFmtId="0">
      <sharedItems containsSemiMixedTypes="0" containsString="0" containsNumber="1" minValue="0" maxValue="3.067948977793054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3.8093617940516746"/>
    </cacheField>
    <cacheField name="MinimumAverage" numFmtId="0">
      <sharedItems containsSemiMixedTypes="0" containsString="0" containsNumber="1" minValue="0" maxValue="16.884806770489899"/>
    </cacheField>
    <cacheField name="MaximumAverage" numFmtId="0">
      <sharedItems containsSemiMixedTypes="0" containsString="0" containsNumber="1" minValue="0" maxValue="23.944518833858901"/>
    </cacheField>
    <cacheField name="OverallMinimum" numFmtId="0">
      <sharedItems containsSemiMixedTypes="0" containsString="0" containsNumber="1" minValue="0" maxValue="0.457055676970683"/>
    </cacheField>
    <cacheField name="OverallMaximum" numFmtId="0">
      <sharedItems containsSemiMixedTypes="0" containsString="0" containsNumber="1" minValue="0" maxValue="44.004094279671698"/>
    </cacheField>
    <cacheField name="AverageNumberObservations" numFmtId="0">
      <sharedItems containsSemiMixedTypes="0" containsString="0" containsNumber="1" minValue="20.8" maxValue="43.4"/>
    </cacheField>
    <cacheField name="SummaryHalfWidth" numFmtId="0">
      <sharedItems containsSemiMixedTypes="0" containsString="0" containsNumber="1" minValue="0" maxValue="3.8093617940516746"/>
    </cacheField>
    <cacheField name="RepsWithStatObserved" numFmtId="0">
      <sharedItems containsSemiMixedTypes="0" containsString="0" containsNumber="1" containsInteger="1" minValue="5" maxValue="5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723299537036" createdVersion="7" refreshedVersion="8" minRefreshableVersion="3" recordCount="2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81">
        <s v="Machine.NumberSeized"/>
        <s v="Machine.ScheduledUtilization"/>
        <s v="Part.NumberIn"/>
        <s v="Part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982711389566991" maxValue="77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" numFmtId="0">
      <sharedItems containsSemiMixedTypes="0" containsString="0" containsNumber="1" minValue="0.99654227791339822" maxValue="64"/>
    </cacheField>
    <cacheField name="StandardDeviation" numFmtId="0">
      <sharedItems containsSemiMixedTypes="0" containsString="0" containsNumber="1" minValue="7.7317016329440397E-3" maxValue="9.8488578017961039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9.6001755624798672E-3" maxValue="12.228972155918482"/>
    </cacheField>
    <cacheField name="Minimum" numFmtId="0">
      <sharedItems containsSemiMixedTypes="0" containsString="0" containsNumber="1" minValue="0.982711389566991" maxValue="51"/>
    </cacheField>
    <cacheField name="Maximum" numFmtId="0">
      <sharedItems containsSemiMixedTypes="0" containsString="0" containsNumber="1" containsInteger="1" minValue="1" maxValue="7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723299537036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723299652775" createdVersion="7" refreshedVersion="8" minRefreshableVersion="3" recordCount="3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28">
        <s v="Hold 1.Queue"/>
        <s v="M1.Queue"/>
        <s v="M2.Queue"/>
        <s v="Machine"/>
        <s v="Part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Instantaneous Utilization"/>
        <s v="Number Busy"/>
        <s v="Number Scheduled"/>
        <s v="WIP"/>
        <m u="1"/>
        <s v="Levels" u="1"/>
      </sharedItems>
    </cacheField>
    <cacheField name="Source" numFmtId="0">
      <sharedItems containsBlank="1" count="5">
        <s v="Queue"/>
        <s v="Resource"/>
        <s v="Entity"/>
        <m u="1"/>
        <s v="User Specified" u="1"/>
      </sharedItems>
    </cacheField>
    <cacheField name="Average" numFmtId="0">
      <sharedItems containsSemiMixedTypes="0" containsString="0" containsNumber="1" minValue="0.93450928820183798" maxValue="17.432237232837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6"/>
    </cacheField>
    <cacheField name="Maximum" numFmtId="0">
      <sharedItems containsSemiMixedTypes="0" containsString="0" containsNumber="1" containsInteger="1" minValue="1" maxValue="31"/>
    </cacheField>
    <cacheField name="LastRecordedValue" numFmtId="0">
      <sharedItems containsSemiMixedTypes="0" containsString="0" containsNumber="1" containsInteger="1" minValue="1" maxValue="3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.97417816031549587" maxValue="14.67045620532728"/>
    </cacheField>
    <cacheField name="StDevOfAverage" numFmtId="0">
      <sharedItems containsSemiMixedTypes="0" containsString="0" containsNumber="1" minValue="0" maxValue="2.543439803503632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3.1580976356089163"/>
    </cacheField>
    <cacheField name="MinimumAverage" numFmtId="0">
      <sharedItems containsSemiMixedTypes="0" containsString="0" containsNumber="1" minValue="0.93450928820183798" maxValue="11.0348483255787"/>
    </cacheField>
    <cacheField name="MaximumAverage" numFmtId="0">
      <sharedItems containsSemiMixedTypes="0" containsString="0" containsNumber="1" minValue="1" maxValue="17.432237232837"/>
    </cacheField>
    <cacheField name="SummaryHalfWidth" numFmtId="0">
      <sharedItems containsSemiMixedTypes="0" containsString="0" containsNumber="1" minValue="0" maxValue="3.15809763560891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723299768521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x v="0"/>
    <s v="2025-04-26 17:21:25"/>
    <n v="1"/>
    <x v="0"/>
    <x v="0"/>
    <x v="0"/>
    <n v="18.304488820687101"/>
    <n v="2E+20"/>
    <n v="0"/>
    <n v="31.2420715122757"/>
    <n v="36"/>
    <s v="Unnamed ProjectHold 1.QueueWaiting TimeQueue"/>
    <n v="5"/>
    <n v="16.719706175135258"/>
    <n v="3.0679489777930544"/>
    <n v="0.95"/>
    <n v="3.8093617940516746"/>
    <n v="12.055228937069201"/>
    <n v="19.648232961546999"/>
    <n v="0"/>
    <n v="39.336824199477498"/>
    <n v="43.4"/>
    <n v="3.8093617940516746"/>
    <n v="5"/>
    <n v="1"/>
  </r>
  <r>
    <x v="0"/>
    <s v="2025-04-26 17:21:25"/>
    <n v="2"/>
    <x v="0"/>
    <x v="0"/>
    <x v="0"/>
    <n v="19.648232961546999"/>
    <n v="2E+20"/>
    <n v="0"/>
    <n v="39.336824199477498"/>
    <n v="39"/>
    <s v="Unnamed ProjectHold 1.QueueWaiting TimeQueue"/>
    <n v="5"/>
    <n v="16.719706175135258"/>
    <n v="3.0679489777930544"/>
    <n v="0.95"/>
    <n v="3.8093617940516746"/>
    <n v="12.055228937069201"/>
    <n v="19.648232961546999"/>
    <n v="0"/>
    <n v="39.336824199477498"/>
    <n v="43.4"/>
    <n v="3.8093617940516746"/>
    <n v="5"/>
    <n v="1"/>
  </r>
  <r>
    <x v="0"/>
    <s v="2025-04-26 17:21:25"/>
    <n v="3"/>
    <x v="0"/>
    <x v="0"/>
    <x v="0"/>
    <n v="18.343299249954399"/>
    <n v="2E+20"/>
    <n v="5.8257344364458898"/>
    <n v="31.2890750511081"/>
    <n v="48"/>
    <s v="Unnamed ProjectHold 1.QueueWaiting TimeQueue"/>
    <n v="5"/>
    <n v="16.719706175135258"/>
    <n v="3.0679489777930544"/>
    <n v="0.95"/>
    <n v="3.8093617940516746"/>
    <n v="12.055228937069201"/>
    <n v="19.648232961546999"/>
    <n v="0"/>
    <n v="39.336824199477498"/>
    <n v="43.4"/>
    <n v="3.8093617940516746"/>
    <n v="5"/>
    <n v="1"/>
  </r>
  <r>
    <x v="0"/>
    <s v="2025-04-26 17:21:25"/>
    <n v="4"/>
    <x v="0"/>
    <x v="0"/>
    <x v="0"/>
    <n v="12.055228937069201"/>
    <n v="2E+20"/>
    <n v="0.80632968586365195"/>
    <n v="25.087113277815199"/>
    <n v="44"/>
    <s v="Unnamed ProjectHold 1.QueueWaiting TimeQueue"/>
    <n v="5"/>
    <n v="16.719706175135258"/>
    <n v="3.0679489777930544"/>
    <n v="0.95"/>
    <n v="3.8093617940516746"/>
    <n v="12.055228937069201"/>
    <n v="19.648232961546999"/>
    <n v="0"/>
    <n v="39.336824199477498"/>
    <n v="43.4"/>
    <n v="3.8093617940516746"/>
    <n v="5"/>
    <n v="1"/>
  </r>
  <r>
    <x v="0"/>
    <s v="2025-04-26 17:21:25"/>
    <n v="5"/>
    <x v="0"/>
    <x v="0"/>
    <x v="0"/>
    <n v="15.247280906418601"/>
    <n v="2E+20"/>
    <n v="0"/>
    <n v="27.237592976258298"/>
    <n v="50"/>
    <s v="Unnamed ProjectHold 1.QueueWaiting TimeQueue"/>
    <n v="5"/>
    <n v="16.719706175135258"/>
    <n v="3.0679489777930544"/>
    <n v="0.95"/>
    <n v="3.8093617940516746"/>
    <n v="12.055228937069201"/>
    <n v="19.648232961546999"/>
    <n v="0"/>
    <n v="39.336824199477498"/>
    <n v="43.4"/>
    <n v="3.8093617940516746"/>
    <n v="5"/>
    <n v="1"/>
  </r>
  <r>
    <x v="0"/>
    <s v="2025-04-26 17:21:25"/>
    <n v="1"/>
    <x v="1"/>
    <x v="0"/>
    <x v="0"/>
    <n v="5.0039235559767201"/>
    <n v="2E+20"/>
    <n v="0.326748116856237"/>
    <n v="11.541269703702399"/>
    <n v="17"/>
    <s v="Unnamed ProjectM1.QueueWaiting TimeQueue"/>
    <n v="5"/>
    <n v="4.2138631343027662"/>
    <n v="0.66752428884595916"/>
    <n v="0.95"/>
    <n v="0.82884087738659773"/>
    <n v="3.24427146737131"/>
    <n v="5.0039235559767201"/>
    <n v="0"/>
    <n v="16.214393402961399"/>
    <n v="21.8"/>
    <n v="0.82884087738659773"/>
    <n v="5"/>
    <n v="1"/>
  </r>
  <r>
    <x v="0"/>
    <s v="2025-04-26 17:21:25"/>
    <n v="2"/>
    <x v="1"/>
    <x v="0"/>
    <x v="0"/>
    <n v="4.4596805889000697"/>
    <n v="2E+20"/>
    <n v="0.87725796771129405"/>
    <n v="16.214393402961399"/>
    <n v="20"/>
    <s v="Unnamed ProjectM1.QueueWaiting TimeQueue"/>
    <n v="5"/>
    <n v="4.2138631343027662"/>
    <n v="0.66752428884595916"/>
    <n v="0.95"/>
    <n v="0.82884087738659773"/>
    <n v="3.24427146737131"/>
    <n v="5.0039235559767201"/>
    <n v="0"/>
    <n v="16.214393402961399"/>
    <n v="21.8"/>
    <n v="0.82884087738659773"/>
    <n v="5"/>
    <n v="1"/>
  </r>
  <r>
    <x v="0"/>
    <s v="2025-04-26 17:21:25"/>
    <n v="3"/>
    <x v="1"/>
    <x v="0"/>
    <x v="0"/>
    <n v="3.9019476470699002"/>
    <n v="2E+20"/>
    <n v="0.54937559651455803"/>
    <n v="7.8899169734664802"/>
    <n v="24"/>
    <s v="Unnamed ProjectM1.QueueWaiting TimeQueue"/>
    <n v="5"/>
    <n v="4.2138631343027662"/>
    <n v="0.66752428884595916"/>
    <n v="0.95"/>
    <n v="0.82884087738659773"/>
    <n v="3.24427146737131"/>
    <n v="5.0039235559767201"/>
    <n v="0"/>
    <n v="16.214393402961399"/>
    <n v="21.8"/>
    <n v="0.82884087738659773"/>
    <n v="5"/>
    <n v="1"/>
  </r>
  <r>
    <x v="0"/>
    <s v="2025-04-26 17:21:25"/>
    <n v="4"/>
    <x v="1"/>
    <x v="0"/>
    <x v="0"/>
    <n v="4.4594924121958304"/>
    <n v="2E+20"/>
    <n v="0.30852461319672397"/>
    <n v="10.6904309736318"/>
    <n v="22"/>
    <s v="Unnamed ProjectM1.QueueWaiting TimeQueue"/>
    <n v="5"/>
    <n v="4.2138631343027662"/>
    <n v="0.66752428884595916"/>
    <n v="0.95"/>
    <n v="0.82884087738659773"/>
    <n v="3.24427146737131"/>
    <n v="5.0039235559767201"/>
    <n v="0"/>
    <n v="16.214393402961399"/>
    <n v="21.8"/>
    <n v="0.82884087738659773"/>
    <n v="5"/>
    <n v="1"/>
  </r>
  <r>
    <x v="0"/>
    <s v="2025-04-26 17:21:25"/>
    <n v="5"/>
    <x v="1"/>
    <x v="0"/>
    <x v="0"/>
    <n v="3.24427146737131"/>
    <n v="2E+20"/>
    <n v="0"/>
    <n v="10.131257007783599"/>
    <n v="26"/>
    <s v="Unnamed ProjectM1.QueueWaiting TimeQueue"/>
    <n v="5"/>
    <n v="4.2138631343027662"/>
    <n v="0.66752428884595916"/>
    <n v="0.95"/>
    <n v="0.82884087738659773"/>
    <n v="3.24427146737131"/>
    <n v="5.0039235559767201"/>
    <n v="0"/>
    <n v="16.214393402961399"/>
    <n v="21.8"/>
    <n v="0.82884087738659773"/>
    <n v="5"/>
    <n v="1"/>
  </r>
  <r>
    <x v="0"/>
    <s v="2025-04-26 17:21:25"/>
    <n v="1"/>
    <x v="2"/>
    <x v="0"/>
    <x v="0"/>
    <n v="5.0570387283651801"/>
    <n v="2E+20"/>
    <n v="0.86976123227565005"/>
    <n v="15.478775863204801"/>
    <n v="18"/>
    <s v="Unnamed ProjectM2.QueueWaiting TimeQueue"/>
    <n v="5"/>
    <n v="4.2780885638947659"/>
    <n v="0.55735107777425386"/>
    <n v="0.95"/>
    <n v="0.69204276763235695"/>
    <n v="3.67832233990806"/>
    <n v="5.0570387283651801"/>
    <n v="0.457055676970683"/>
    <n v="16.5744973518363"/>
    <n v="20.8"/>
    <n v="0.69204276763235695"/>
    <n v="5"/>
    <n v="1"/>
  </r>
  <r>
    <x v="0"/>
    <s v="2025-04-26 17:21:25"/>
    <n v="2"/>
    <x v="2"/>
    <x v="0"/>
    <x v="0"/>
    <n v="4.5808860073125803"/>
    <n v="2E+20"/>
    <n v="0.89622891007609695"/>
    <n v="16.5744973518363"/>
    <n v="18"/>
    <s v="Unnamed ProjectM2.QueueWaiting TimeQueue"/>
    <n v="5"/>
    <n v="4.2780885638947659"/>
    <n v="0.55735107777425386"/>
    <n v="0.95"/>
    <n v="0.69204276763235695"/>
    <n v="3.67832233990806"/>
    <n v="5.0570387283651801"/>
    <n v="0.457055676970683"/>
    <n v="16.5744973518363"/>
    <n v="20.8"/>
    <n v="0.69204276763235695"/>
    <n v="5"/>
    <n v="1"/>
  </r>
  <r>
    <x v="0"/>
    <s v="2025-04-26 17:21:25"/>
    <n v="3"/>
    <x v="2"/>
    <x v="0"/>
    <x v="0"/>
    <n v="3.85238364067507"/>
    <n v="2E+20"/>
    <n v="0.457055676970683"/>
    <n v="9.2839453381284205"/>
    <n v="24"/>
    <s v="Unnamed ProjectM2.QueueWaiting TimeQueue"/>
    <n v="5"/>
    <n v="4.2780885638947659"/>
    <n v="0.55735107777425386"/>
    <n v="0.95"/>
    <n v="0.69204276763235695"/>
    <n v="3.67832233990806"/>
    <n v="5.0570387283651801"/>
    <n v="0.457055676970683"/>
    <n v="16.5744973518363"/>
    <n v="20.8"/>
    <n v="0.69204276763235695"/>
    <n v="5"/>
    <n v="1"/>
  </r>
  <r>
    <x v="0"/>
    <s v="2025-04-26 17:21:25"/>
    <n v="4"/>
    <x v="2"/>
    <x v="0"/>
    <x v="0"/>
    <n v="4.2218121032129403"/>
    <n v="2E+20"/>
    <n v="0.83230798802861705"/>
    <n v="9.7300672080438204"/>
    <n v="22"/>
    <s v="Unnamed ProjectM2.QueueWaiting TimeQueue"/>
    <n v="5"/>
    <n v="4.2780885638947659"/>
    <n v="0.55735107777425386"/>
    <n v="0.95"/>
    <n v="0.69204276763235695"/>
    <n v="3.67832233990806"/>
    <n v="5.0570387283651801"/>
    <n v="0.457055676970683"/>
    <n v="16.5744973518363"/>
    <n v="20.8"/>
    <n v="0.69204276763235695"/>
    <n v="5"/>
    <n v="1"/>
  </r>
  <r>
    <x v="0"/>
    <s v="2025-04-26 17:21:25"/>
    <n v="5"/>
    <x v="2"/>
    <x v="0"/>
    <x v="0"/>
    <n v="3.67832233990806"/>
    <n v="2E+20"/>
    <n v="1.24429744443297"/>
    <n v="11.346160173695999"/>
    <n v="22"/>
    <s v="Unnamed ProjectM2.QueueWaiting TimeQueue"/>
    <n v="5"/>
    <n v="4.2780885638947659"/>
    <n v="0.55735107777425386"/>
    <n v="0.95"/>
    <n v="0.69204276763235695"/>
    <n v="3.67832233990806"/>
    <n v="5.0570387283651801"/>
    <n v="0.457055676970683"/>
    <n v="16.5744973518363"/>
    <n v="20.8"/>
    <n v="0.69204276763235695"/>
    <n v="5"/>
    <n v="1"/>
  </r>
  <r>
    <x v="0"/>
    <s v="2025-04-26 17:21:25"/>
    <n v="1"/>
    <x v="3"/>
    <x v="1"/>
    <x v="1"/>
    <n v="0"/>
    <n v="2E+20"/>
    <n v="0"/>
    <n v="0"/>
    <n v="35"/>
    <s v="Unnamed ProjectPartNVA TimeEntity"/>
    <n v="5"/>
    <n v="0"/>
    <n v="0"/>
    <n v="0.95"/>
    <n v="0"/>
    <n v="0"/>
    <n v="0"/>
    <n v="0"/>
    <n v="0"/>
    <n v="42.4"/>
    <n v="0"/>
    <n v="5"/>
    <n v="1"/>
  </r>
  <r>
    <x v="0"/>
    <s v="2025-04-26 17:21:25"/>
    <n v="1"/>
    <x v="3"/>
    <x v="2"/>
    <x v="1"/>
    <n v="0"/>
    <n v="2E+20"/>
    <n v="0"/>
    <n v="0"/>
    <n v="35"/>
    <s v="Unnamed ProjectPartOther TimeEntity"/>
    <n v="5"/>
    <n v="0"/>
    <n v="0"/>
    <n v="0.95"/>
    <n v="0"/>
    <n v="0"/>
    <n v="0"/>
    <n v="0"/>
    <n v="0"/>
    <n v="42.4"/>
    <n v="0"/>
    <n v="5"/>
    <n v="1"/>
  </r>
  <r>
    <x v="0"/>
    <s v="2025-04-26 17:21:25"/>
    <n v="1"/>
    <x v="3"/>
    <x v="3"/>
    <x v="1"/>
    <n v="23.931360316386499"/>
    <n v="2E+20"/>
    <n v="7.0115362100991803"/>
    <n v="37.615290582270397"/>
    <n v="35"/>
    <s v="Unnamed ProjectPartTotal TimeEntity"/>
    <n v="5"/>
    <n v="21.45310600011474"/>
    <n v="3.0215290010112872"/>
    <n v="0.95"/>
    <n v="3.7517237800842991"/>
    <n v="16.884806770489899"/>
    <n v="23.944518833858901"/>
    <n v="0.44164150823048898"/>
    <n v="44.004094279671698"/>
    <n v="42.4"/>
    <n v="3.7517237800842991"/>
    <n v="5"/>
    <n v="1"/>
  </r>
  <r>
    <x v="0"/>
    <s v="2025-04-26 17:21:25"/>
    <n v="1"/>
    <x v="3"/>
    <x v="4"/>
    <x v="1"/>
    <n v="0"/>
    <n v="2E+20"/>
    <n v="0"/>
    <n v="0"/>
    <n v="35"/>
    <s v="Unnamed ProjectPartTransfer TimeEntity"/>
    <n v="5"/>
    <n v="0"/>
    <n v="0"/>
    <n v="0.95"/>
    <n v="0"/>
    <n v="0"/>
    <n v="0"/>
    <n v="0"/>
    <n v="0"/>
    <n v="42.4"/>
    <n v="0"/>
    <n v="5"/>
    <n v="1"/>
  </r>
  <r>
    <x v="0"/>
    <s v="2025-04-26 17:21:25"/>
    <n v="1"/>
    <x v="3"/>
    <x v="5"/>
    <x v="1"/>
    <n v="2.5837784480297801"/>
    <n v="2E+20"/>
    <n v="6.98393973330269E-3"/>
    <n v="9.1572119020615492"/>
    <n v="35"/>
    <s v="Unnamed ProjectPartVA TimeEntity"/>
    <n v="5"/>
    <n v="2.2099146904028522"/>
    <n v="0.30531058014202289"/>
    <n v="0.95"/>
    <n v="0.37909315563305479"/>
    <n v="1.8526222125352301"/>
    <n v="2.5837784480297801"/>
    <n v="7.3731313490199601E-4"/>
    <n v="16.165131141916099"/>
    <n v="42.4"/>
    <n v="0.37909315563305479"/>
    <n v="5"/>
    <n v="1"/>
  </r>
  <r>
    <x v="0"/>
    <s v="2025-04-26 17:21:25"/>
    <n v="1"/>
    <x v="3"/>
    <x v="6"/>
    <x v="1"/>
    <n v="21.347581868356801"/>
    <n v="2E+20"/>
    <n v="0.80609935171837699"/>
    <n v="33.442715983073803"/>
    <n v="35"/>
    <s v="Unnamed ProjectPartWait TimeEntity"/>
    <n v="5"/>
    <n v="19.243191309711921"/>
    <n v="2.9196498971241902"/>
    <n v="0.95"/>
    <n v="3.6252241646184302"/>
    <n v="14.6208053359345"/>
    <n v="21.546321300500001"/>
    <n v="0"/>
    <n v="41.858220772647499"/>
    <n v="42.4"/>
    <n v="3.6252241646184302"/>
    <n v="5"/>
    <n v="1"/>
  </r>
  <r>
    <x v="0"/>
    <s v="2025-04-26 17:21:25"/>
    <n v="2"/>
    <x v="3"/>
    <x v="1"/>
    <x v="1"/>
    <n v="0"/>
    <n v="2E+20"/>
    <n v="0"/>
    <n v="0"/>
    <n v="38"/>
    <s v="Unnamed ProjectPartNVA TimeEntity"/>
    <n v="5"/>
    <n v="0"/>
    <n v="0"/>
    <n v="0.95"/>
    <n v="0"/>
    <n v="0"/>
    <n v="0"/>
    <n v="0"/>
    <n v="0"/>
    <n v="42.4"/>
    <n v="0"/>
    <n v="5"/>
    <n v="1"/>
  </r>
  <r>
    <x v="0"/>
    <s v="2025-04-26 17:21:25"/>
    <n v="2"/>
    <x v="3"/>
    <x v="2"/>
    <x v="1"/>
    <n v="0"/>
    <n v="2E+20"/>
    <n v="0"/>
    <n v="0"/>
    <n v="38"/>
    <s v="Unnamed ProjectPartOther TimeEntity"/>
    <n v="5"/>
    <n v="0"/>
    <n v="0"/>
    <n v="0.95"/>
    <n v="0"/>
    <n v="0"/>
    <n v="0"/>
    <n v="0"/>
    <n v="0"/>
    <n v="42.4"/>
    <n v="0"/>
    <n v="5"/>
    <n v="1"/>
  </r>
  <r>
    <x v="0"/>
    <s v="2025-04-26 17:21:25"/>
    <n v="2"/>
    <x v="3"/>
    <x v="3"/>
    <x v="1"/>
    <n v="23.944518833858901"/>
    <n v="2E+20"/>
    <n v="2.07539807483779"/>
    <n v="44.004094279671698"/>
    <n v="38"/>
    <s v="Unnamed ProjectPartTotal TimeEntity"/>
    <n v="5"/>
    <n v="21.45310600011474"/>
    <n v="3.0215290010112872"/>
    <n v="0.95"/>
    <n v="3.7517237800842991"/>
    <n v="16.884806770489899"/>
    <n v="23.944518833858901"/>
    <n v="0.44164150823048898"/>
    <n v="44.004094279671698"/>
    <n v="42.4"/>
    <n v="3.7517237800842991"/>
    <n v="5"/>
    <n v="1"/>
  </r>
  <r>
    <x v="0"/>
    <s v="2025-04-26 17:21:25"/>
    <n v="2"/>
    <x v="3"/>
    <x v="4"/>
    <x v="1"/>
    <n v="0"/>
    <n v="2E+20"/>
    <n v="0"/>
    <n v="0"/>
    <n v="38"/>
    <s v="Unnamed ProjectPartTransfer TimeEntity"/>
    <n v="5"/>
    <n v="0"/>
    <n v="0"/>
    <n v="0.95"/>
    <n v="0"/>
    <n v="0"/>
    <n v="0"/>
    <n v="0"/>
    <n v="0"/>
    <n v="42.4"/>
    <n v="0"/>
    <n v="5"/>
    <n v="1"/>
  </r>
  <r>
    <x v="0"/>
    <s v="2025-04-26 17:21:25"/>
    <n v="2"/>
    <x v="3"/>
    <x v="5"/>
    <x v="1"/>
    <n v="2.3981975333588701"/>
    <n v="2E+20"/>
    <n v="4.9262261045328201E-2"/>
    <n v="16.165131141916099"/>
    <n v="38"/>
    <s v="Unnamed ProjectPartVA TimeEntity"/>
    <n v="5"/>
    <n v="2.2099146904028522"/>
    <n v="0.30531058014202289"/>
    <n v="0.95"/>
    <n v="0.37909315563305479"/>
    <n v="1.8526222125352301"/>
    <n v="2.5837784480297801"/>
    <n v="7.3731313490199601E-4"/>
    <n v="16.165131141916099"/>
    <n v="42.4"/>
    <n v="0.37909315563305479"/>
    <n v="5"/>
    <n v="1"/>
  </r>
  <r>
    <x v="0"/>
    <s v="2025-04-26 17:21:25"/>
    <n v="2"/>
    <x v="3"/>
    <x v="6"/>
    <x v="1"/>
    <n v="21.546321300500001"/>
    <n v="2E+20"/>
    <n v="0"/>
    <n v="41.858220772647499"/>
    <n v="38"/>
    <s v="Unnamed ProjectPartWait TimeEntity"/>
    <n v="5"/>
    <n v="19.243191309711921"/>
    <n v="2.9196498971241902"/>
    <n v="0.95"/>
    <n v="3.6252241646184302"/>
    <n v="14.6208053359345"/>
    <n v="21.546321300500001"/>
    <n v="0"/>
    <n v="41.858220772647499"/>
    <n v="42.4"/>
    <n v="3.6252241646184302"/>
    <n v="5"/>
    <n v="1"/>
  </r>
  <r>
    <x v="0"/>
    <s v="2025-04-26 17:21:25"/>
    <n v="3"/>
    <x v="3"/>
    <x v="1"/>
    <x v="1"/>
    <n v="0"/>
    <n v="2E+20"/>
    <n v="0"/>
    <n v="0"/>
    <n v="48"/>
    <s v="Unnamed ProjectPartNVA TimeEntity"/>
    <n v="5"/>
    <n v="0"/>
    <n v="0"/>
    <n v="0.95"/>
    <n v="0"/>
    <n v="0"/>
    <n v="0"/>
    <n v="0"/>
    <n v="0"/>
    <n v="42.4"/>
    <n v="0"/>
    <n v="5"/>
    <n v="1"/>
  </r>
  <r>
    <x v="0"/>
    <s v="2025-04-26 17:21:25"/>
    <n v="3"/>
    <x v="3"/>
    <x v="2"/>
    <x v="1"/>
    <n v="0"/>
    <n v="2E+20"/>
    <n v="0"/>
    <n v="0"/>
    <n v="48"/>
    <s v="Unnamed ProjectPartOther TimeEntity"/>
    <n v="5"/>
    <n v="0"/>
    <n v="0"/>
    <n v="0.95"/>
    <n v="0"/>
    <n v="0"/>
    <n v="0"/>
    <n v="0"/>
    <n v="0"/>
    <n v="42.4"/>
    <n v="0"/>
    <n v="5"/>
    <n v="1"/>
  </r>
  <r>
    <x v="0"/>
    <s v="2025-04-26 17:21:25"/>
    <n v="3"/>
    <x v="3"/>
    <x v="3"/>
    <x v="1"/>
    <n v="22.521232840707501"/>
    <n v="2E+20"/>
    <n v="9.5127333404721792"/>
    <n v="33.693948222502598"/>
    <n v="48"/>
    <s v="Unnamed ProjectPartTotal TimeEntity"/>
    <n v="5"/>
    <n v="21.45310600011474"/>
    <n v="3.0215290010112872"/>
    <n v="0.95"/>
    <n v="3.7517237800842991"/>
    <n v="16.884806770489899"/>
    <n v="23.944518833858901"/>
    <n v="0.44164150823048898"/>
    <n v="44.004094279671698"/>
    <n v="42.4"/>
    <n v="3.7517237800842991"/>
    <n v="5"/>
    <n v="1"/>
  </r>
  <r>
    <x v="0"/>
    <s v="2025-04-26 17:21:25"/>
    <n v="3"/>
    <x v="3"/>
    <x v="4"/>
    <x v="1"/>
    <n v="0"/>
    <n v="2E+20"/>
    <n v="0"/>
    <n v="0"/>
    <n v="48"/>
    <s v="Unnamed ProjectPartTransfer TimeEntity"/>
    <n v="5"/>
    <n v="0"/>
    <n v="0"/>
    <n v="0.95"/>
    <n v="0"/>
    <n v="0"/>
    <n v="0"/>
    <n v="0"/>
    <n v="0"/>
    <n v="42.4"/>
    <n v="0"/>
    <n v="5"/>
    <n v="1"/>
  </r>
  <r>
    <x v="0"/>
    <s v="2025-04-26 17:21:25"/>
    <n v="3"/>
    <x v="3"/>
    <x v="5"/>
    <x v="1"/>
    <n v="1.9509738235349501"/>
    <n v="2E+20"/>
    <n v="2.3616866417814499E-2"/>
    <n v="7.1528222881003698"/>
    <n v="48"/>
    <s v="Unnamed ProjectPartVA TimeEntity"/>
    <n v="5"/>
    <n v="2.2099146904028522"/>
    <n v="0.30531058014202289"/>
    <n v="0.95"/>
    <n v="0.37909315563305479"/>
    <n v="1.8526222125352301"/>
    <n v="2.5837784480297801"/>
    <n v="7.3731313490199601E-4"/>
    <n v="16.165131141916099"/>
    <n v="42.4"/>
    <n v="0.37909315563305479"/>
    <n v="5"/>
    <n v="1"/>
  </r>
  <r>
    <x v="0"/>
    <s v="2025-04-26 17:21:25"/>
    <n v="3"/>
    <x v="3"/>
    <x v="6"/>
    <x v="1"/>
    <n v="20.570259017172599"/>
    <n v="2E+20"/>
    <n v="2.84542703717351"/>
    <n v="32.280161110225897"/>
    <n v="48"/>
    <s v="Unnamed ProjectPartWait TimeEntity"/>
    <n v="5"/>
    <n v="19.243191309711921"/>
    <n v="2.9196498971241902"/>
    <n v="0.95"/>
    <n v="3.6252241646184302"/>
    <n v="14.6208053359345"/>
    <n v="21.546321300500001"/>
    <n v="0"/>
    <n v="41.858220772647499"/>
    <n v="42.4"/>
    <n v="3.6252241646184302"/>
    <n v="5"/>
    <n v="1"/>
  </r>
  <r>
    <x v="0"/>
    <s v="2025-04-26 17:21:25"/>
    <n v="4"/>
    <x v="3"/>
    <x v="1"/>
    <x v="1"/>
    <n v="0"/>
    <n v="2E+20"/>
    <n v="0"/>
    <n v="0"/>
    <n v="44"/>
    <s v="Unnamed ProjectPartNVA TimeEntity"/>
    <n v="5"/>
    <n v="0"/>
    <n v="0"/>
    <n v="0.95"/>
    <n v="0"/>
    <n v="0"/>
    <n v="0"/>
    <n v="0"/>
    <n v="0"/>
    <n v="42.4"/>
    <n v="0"/>
    <n v="5"/>
    <n v="1"/>
  </r>
  <r>
    <x v="0"/>
    <s v="2025-04-26 17:21:25"/>
    <n v="4"/>
    <x v="3"/>
    <x v="2"/>
    <x v="1"/>
    <n v="0"/>
    <n v="2E+20"/>
    <n v="0"/>
    <n v="0"/>
    <n v="44"/>
    <s v="Unnamed ProjectPartOther TimeEntity"/>
    <n v="5"/>
    <n v="0"/>
    <n v="0"/>
    <n v="0.95"/>
    <n v="0"/>
    <n v="0"/>
    <n v="0"/>
    <n v="0"/>
    <n v="0"/>
    <n v="42.4"/>
    <n v="0"/>
    <n v="5"/>
    <n v="1"/>
  </r>
  <r>
    <x v="0"/>
    <s v="2025-04-26 17:21:25"/>
    <n v="4"/>
    <x v="3"/>
    <x v="3"/>
    <x v="1"/>
    <n v="16.884806770489899"/>
    <n v="2E+20"/>
    <n v="5.9986929636291499"/>
    <n v="32.415229516518302"/>
    <n v="44"/>
    <s v="Unnamed ProjectPartTotal TimeEntity"/>
    <n v="5"/>
    <n v="21.45310600011474"/>
    <n v="3.0215290010112872"/>
    <n v="0.95"/>
    <n v="3.7517237800842991"/>
    <n v="16.884806770489899"/>
    <n v="23.944518833858901"/>
    <n v="0.44164150823048898"/>
    <n v="44.004094279671698"/>
    <n v="42.4"/>
    <n v="3.7517237800842991"/>
    <n v="5"/>
    <n v="1"/>
  </r>
  <r>
    <x v="0"/>
    <s v="2025-04-26 17:21:25"/>
    <n v="4"/>
    <x v="3"/>
    <x v="4"/>
    <x v="1"/>
    <n v="0"/>
    <n v="2E+20"/>
    <n v="0"/>
    <n v="0"/>
    <n v="44"/>
    <s v="Unnamed ProjectPartTransfer TimeEntity"/>
    <n v="5"/>
    <n v="0"/>
    <n v="0"/>
    <n v="0.95"/>
    <n v="0"/>
    <n v="0"/>
    <n v="0"/>
    <n v="0"/>
    <n v="0"/>
    <n v="42.4"/>
    <n v="0"/>
    <n v="5"/>
    <n v="1"/>
  </r>
  <r>
    <x v="0"/>
    <s v="2025-04-26 17:21:25"/>
    <n v="4"/>
    <x v="3"/>
    <x v="5"/>
    <x v="1"/>
    <n v="2.2640014345554298"/>
    <n v="2E+20"/>
    <n v="7.3731313490199601E-4"/>
    <n v="10.459126887274699"/>
    <n v="44"/>
    <s v="Unnamed ProjectPartVA TimeEntity"/>
    <n v="5"/>
    <n v="2.2099146904028522"/>
    <n v="0.30531058014202289"/>
    <n v="0.95"/>
    <n v="0.37909315563305479"/>
    <n v="1.8526222125352301"/>
    <n v="2.5837784480297801"/>
    <n v="7.3731313490199601E-4"/>
    <n v="16.165131141916099"/>
    <n v="42.4"/>
    <n v="0.37909315563305479"/>
    <n v="5"/>
    <n v="1"/>
  </r>
  <r>
    <x v="0"/>
    <s v="2025-04-26 17:21:25"/>
    <n v="4"/>
    <x v="3"/>
    <x v="6"/>
    <x v="1"/>
    <n v="14.6208053359345"/>
    <n v="2E+20"/>
    <n v="0"/>
    <n v="30.028103905611701"/>
    <n v="44"/>
    <s v="Unnamed ProjectPartWait TimeEntity"/>
    <n v="5"/>
    <n v="19.243191309711921"/>
    <n v="2.9196498971241902"/>
    <n v="0.95"/>
    <n v="3.6252241646184302"/>
    <n v="14.6208053359345"/>
    <n v="21.546321300500001"/>
    <n v="0"/>
    <n v="41.858220772647499"/>
    <n v="42.4"/>
    <n v="3.6252241646184302"/>
    <n v="5"/>
    <n v="1"/>
  </r>
  <r>
    <x v="0"/>
    <s v="2025-04-26 17:21:25"/>
    <n v="5"/>
    <x v="3"/>
    <x v="1"/>
    <x v="1"/>
    <n v="0"/>
    <n v="2E+20"/>
    <n v="0"/>
    <n v="0"/>
    <n v="47"/>
    <s v="Unnamed ProjectPartNVA TimeEntity"/>
    <n v="5"/>
    <n v="0"/>
    <n v="0"/>
    <n v="0.95"/>
    <n v="0"/>
    <n v="0"/>
    <n v="0"/>
    <n v="0"/>
    <n v="0"/>
    <n v="42.4"/>
    <n v="0"/>
    <n v="5"/>
    <n v="1"/>
  </r>
  <r>
    <x v="0"/>
    <s v="2025-04-26 17:21:25"/>
    <n v="5"/>
    <x v="3"/>
    <x v="2"/>
    <x v="1"/>
    <n v="0"/>
    <n v="2E+20"/>
    <n v="0"/>
    <n v="0"/>
    <n v="47"/>
    <s v="Unnamed ProjectPartOther TimeEntity"/>
    <n v="5"/>
    <n v="0"/>
    <n v="0"/>
    <n v="0.95"/>
    <n v="0"/>
    <n v="0"/>
    <n v="0"/>
    <n v="0"/>
    <n v="0"/>
    <n v="42.4"/>
    <n v="0"/>
    <n v="5"/>
    <n v="1"/>
  </r>
  <r>
    <x v="0"/>
    <s v="2025-04-26 17:21:25"/>
    <n v="5"/>
    <x v="3"/>
    <x v="3"/>
    <x v="1"/>
    <n v="19.983611239130902"/>
    <n v="2E+20"/>
    <n v="0.44164150823048898"/>
    <n v="32.365295750947098"/>
    <n v="47"/>
    <s v="Unnamed ProjectPartTotal TimeEntity"/>
    <n v="5"/>
    <n v="21.45310600011474"/>
    <n v="3.0215290010112872"/>
    <n v="0.95"/>
    <n v="3.7517237800842991"/>
    <n v="16.884806770489899"/>
    <n v="23.944518833858901"/>
    <n v="0.44164150823048898"/>
    <n v="44.004094279671698"/>
    <n v="42.4"/>
    <n v="3.7517237800842991"/>
    <n v="5"/>
    <n v="1"/>
  </r>
  <r>
    <x v="0"/>
    <s v="2025-04-26 17:21:25"/>
    <n v="5"/>
    <x v="3"/>
    <x v="4"/>
    <x v="1"/>
    <n v="0"/>
    <n v="2E+20"/>
    <n v="0"/>
    <n v="0"/>
    <n v="47"/>
    <s v="Unnamed ProjectPartTransfer TimeEntity"/>
    <n v="5"/>
    <n v="0"/>
    <n v="0"/>
    <n v="0.95"/>
    <n v="0"/>
    <n v="0"/>
    <n v="0"/>
    <n v="0"/>
    <n v="0"/>
    <n v="42.4"/>
    <n v="0"/>
    <n v="5"/>
    <n v="1"/>
  </r>
  <r>
    <x v="0"/>
    <s v="2025-04-26 17:21:25"/>
    <n v="5"/>
    <x v="3"/>
    <x v="5"/>
    <x v="1"/>
    <n v="1.8526222125352301"/>
    <n v="2E+20"/>
    <n v="3.0825850447342901E-2"/>
    <n v="8.7316162283145093"/>
    <n v="47"/>
    <s v="Unnamed ProjectPartVA TimeEntity"/>
    <n v="5"/>
    <n v="2.2099146904028522"/>
    <n v="0.30531058014202289"/>
    <n v="0.95"/>
    <n v="0.37909315563305479"/>
    <n v="1.8526222125352301"/>
    <n v="2.5837784480297801"/>
    <n v="7.3731313490199601E-4"/>
    <n v="16.165131141916099"/>
    <n v="42.4"/>
    <n v="0.37909315563305479"/>
    <n v="5"/>
    <n v="1"/>
  </r>
  <r>
    <x v="0"/>
    <s v="2025-04-26 17:21:25"/>
    <n v="5"/>
    <x v="3"/>
    <x v="6"/>
    <x v="1"/>
    <n v="18.130989026595699"/>
    <n v="2E+20"/>
    <n v="0"/>
    <n v="32.086974105819003"/>
    <n v="47"/>
    <s v="Unnamed ProjectPartWait TimeEntity"/>
    <n v="5"/>
    <n v="19.243191309711921"/>
    <n v="2.9196498971241902"/>
    <n v="0.95"/>
    <n v="3.6252241646184302"/>
    <n v="14.6208053359345"/>
    <n v="21.546321300500001"/>
    <n v="0"/>
    <n v="41.858220772647499"/>
    <n v="42.4"/>
    <n v="3.6252241646184302"/>
    <n v="5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25-04-26 17:21:25"/>
    <n v="1"/>
    <x v="0"/>
    <x v="0"/>
    <x v="0"/>
    <n v="35"/>
    <n v="0"/>
    <s v="Unnamed ProjectMachine.NumberSeizedTotal Number SeizedResource"/>
    <n v="5"/>
    <n v="42.6"/>
    <n v="5.8991524815010656"/>
    <n v="0.95"/>
    <n v="7.3247652561942678"/>
    <n v="35"/>
    <n v="48"/>
  </r>
  <r>
    <x v="0"/>
    <s v="2025-04-26 17:21:25"/>
    <n v="1"/>
    <x v="1"/>
    <x v="1"/>
    <x v="0"/>
    <n v="1"/>
    <n v="0"/>
    <s v="Unnamed ProjectMachine.ScheduledUtilizationScheduled UtilizationResource"/>
    <n v="5"/>
    <n v="0.99654227791339822"/>
    <n v="7.7317016329440397E-3"/>
    <n v="0.95"/>
    <n v="9.6001755624798672E-3"/>
    <n v="0.982711389566991"/>
    <n v="1"/>
  </r>
  <r>
    <x v="0"/>
    <s v="2025-04-26 17:21:25"/>
    <n v="1"/>
    <x v="2"/>
    <x v="2"/>
    <x v="1"/>
    <n v="51"/>
    <n v="0"/>
    <s v="Unnamed ProjectPart.NumberInNumber InEntity"/>
    <n v="5"/>
    <n v="64"/>
    <n v="9.8488578017961039"/>
    <n v="0.95"/>
    <n v="12.228972155918482"/>
    <n v="51"/>
    <n v="77"/>
  </r>
  <r>
    <x v="0"/>
    <s v="2025-04-26 17:21:25"/>
    <n v="1"/>
    <x v="3"/>
    <x v="3"/>
    <x v="1"/>
    <n v="35"/>
    <n v="0"/>
    <s v="Unnamed ProjectPart.NumberOutNumber OutEntity"/>
    <n v="5"/>
    <n v="42.4"/>
    <n v="5.6833088953531448"/>
    <n v="0.95"/>
    <n v="7.0567600460312025"/>
    <n v="35"/>
    <n v="48"/>
  </r>
  <r>
    <x v="0"/>
    <s v="2025-04-26 17:21:25"/>
    <n v="1"/>
    <x v="4"/>
    <x v="3"/>
    <x v="2"/>
    <n v="35"/>
    <n v="0"/>
    <s v="Unnamed ProjectSystem.NumberOutNumber OutSystem"/>
    <n v="5"/>
    <n v="42.4"/>
    <n v="5.6833088953531448"/>
    <n v="0.95"/>
    <n v="7.0567600460312025"/>
    <n v="35"/>
    <n v="48"/>
  </r>
  <r>
    <x v="0"/>
    <s v="2025-04-26 17:21:25"/>
    <n v="2"/>
    <x v="0"/>
    <x v="0"/>
    <x v="0"/>
    <n v="38"/>
    <n v="0"/>
    <s v="Unnamed ProjectMachine.NumberSeizedTotal Number SeizedResource"/>
    <n v="5"/>
    <n v="42.6"/>
    <n v="5.8991524815010656"/>
    <n v="0.95"/>
    <n v="7.3247652561942678"/>
    <n v="35"/>
    <n v="48"/>
  </r>
  <r>
    <x v="0"/>
    <s v="2025-04-26 17:21:25"/>
    <n v="2"/>
    <x v="1"/>
    <x v="1"/>
    <x v="0"/>
    <n v="1"/>
    <n v="0"/>
    <s v="Unnamed ProjectMachine.ScheduledUtilizationScheduled UtilizationResource"/>
    <n v="5"/>
    <n v="0.99654227791339822"/>
    <n v="7.7317016329440397E-3"/>
    <n v="0.95"/>
    <n v="9.6001755624798672E-3"/>
    <n v="0.982711389566991"/>
    <n v="1"/>
  </r>
  <r>
    <x v="0"/>
    <s v="2025-04-26 17:21:25"/>
    <n v="2"/>
    <x v="2"/>
    <x v="2"/>
    <x v="1"/>
    <n v="64"/>
    <n v="0"/>
    <s v="Unnamed ProjectPart.NumberInNumber InEntity"/>
    <n v="5"/>
    <n v="64"/>
    <n v="9.8488578017961039"/>
    <n v="0.95"/>
    <n v="12.228972155918482"/>
    <n v="51"/>
    <n v="77"/>
  </r>
  <r>
    <x v="0"/>
    <s v="2025-04-26 17:21:25"/>
    <n v="2"/>
    <x v="3"/>
    <x v="3"/>
    <x v="1"/>
    <n v="38"/>
    <n v="0"/>
    <s v="Unnamed ProjectPart.NumberOutNumber OutEntity"/>
    <n v="5"/>
    <n v="42.4"/>
    <n v="5.6833088953531448"/>
    <n v="0.95"/>
    <n v="7.0567600460312025"/>
    <n v="35"/>
    <n v="48"/>
  </r>
  <r>
    <x v="0"/>
    <s v="2025-04-26 17:21:25"/>
    <n v="2"/>
    <x v="4"/>
    <x v="3"/>
    <x v="2"/>
    <n v="38"/>
    <n v="0"/>
    <s v="Unnamed ProjectSystem.NumberOutNumber OutSystem"/>
    <n v="5"/>
    <n v="42.4"/>
    <n v="5.6833088953531448"/>
    <n v="0.95"/>
    <n v="7.0567600460312025"/>
    <n v="35"/>
    <n v="48"/>
  </r>
  <r>
    <x v="0"/>
    <s v="2025-04-26 17:21:25"/>
    <n v="3"/>
    <x v="0"/>
    <x v="0"/>
    <x v="0"/>
    <n v="48"/>
    <n v="0"/>
    <s v="Unnamed ProjectMachine.NumberSeizedTotal Number SeizedResource"/>
    <n v="5"/>
    <n v="42.6"/>
    <n v="5.8991524815010656"/>
    <n v="0.95"/>
    <n v="7.3247652561942678"/>
    <n v="35"/>
    <n v="48"/>
  </r>
  <r>
    <x v="0"/>
    <s v="2025-04-26 17:21:25"/>
    <n v="3"/>
    <x v="1"/>
    <x v="1"/>
    <x v="0"/>
    <n v="1"/>
    <n v="0"/>
    <s v="Unnamed ProjectMachine.ScheduledUtilizationScheduled UtilizationResource"/>
    <n v="5"/>
    <n v="0.99654227791339822"/>
    <n v="7.7317016329440397E-3"/>
    <n v="0.95"/>
    <n v="9.6001755624798672E-3"/>
    <n v="0.982711389566991"/>
    <n v="1"/>
  </r>
  <r>
    <x v="0"/>
    <s v="2025-04-26 17:21:25"/>
    <n v="3"/>
    <x v="2"/>
    <x v="2"/>
    <x v="1"/>
    <n v="69"/>
    <n v="0"/>
    <s v="Unnamed ProjectPart.NumberInNumber InEntity"/>
    <n v="5"/>
    <n v="64"/>
    <n v="9.8488578017961039"/>
    <n v="0.95"/>
    <n v="12.228972155918482"/>
    <n v="51"/>
    <n v="77"/>
  </r>
  <r>
    <x v="0"/>
    <s v="2025-04-26 17:21:25"/>
    <n v="3"/>
    <x v="3"/>
    <x v="3"/>
    <x v="1"/>
    <n v="48"/>
    <n v="0"/>
    <s v="Unnamed ProjectPart.NumberOutNumber OutEntity"/>
    <n v="5"/>
    <n v="42.4"/>
    <n v="5.6833088953531448"/>
    <n v="0.95"/>
    <n v="7.0567600460312025"/>
    <n v="35"/>
    <n v="48"/>
  </r>
  <r>
    <x v="0"/>
    <s v="2025-04-26 17:21:25"/>
    <n v="3"/>
    <x v="4"/>
    <x v="3"/>
    <x v="2"/>
    <n v="48"/>
    <n v="0"/>
    <s v="Unnamed ProjectSystem.NumberOutNumber OutSystem"/>
    <n v="5"/>
    <n v="42.4"/>
    <n v="5.6833088953531448"/>
    <n v="0.95"/>
    <n v="7.0567600460312025"/>
    <n v="35"/>
    <n v="48"/>
  </r>
  <r>
    <x v="0"/>
    <s v="2025-04-26 17:21:25"/>
    <n v="4"/>
    <x v="0"/>
    <x v="0"/>
    <x v="0"/>
    <n v="44"/>
    <n v="0"/>
    <s v="Unnamed ProjectMachine.NumberSeizedTotal Number SeizedResource"/>
    <n v="5"/>
    <n v="42.6"/>
    <n v="5.8991524815010656"/>
    <n v="0.95"/>
    <n v="7.3247652561942678"/>
    <n v="35"/>
    <n v="48"/>
  </r>
  <r>
    <x v="0"/>
    <s v="2025-04-26 17:21:25"/>
    <n v="4"/>
    <x v="1"/>
    <x v="1"/>
    <x v="0"/>
    <n v="1"/>
    <n v="0"/>
    <s v="Unnamed ProjectMachine.ScheduledUtilizationScheduled UtilizationResource"/>
    <n v="5"/>
    <n v="0.99654227791339822"/>
    <n v="7.7317016329440397E-3"/>
    <n v="0.95"/>
    <n v="9.6001755624798672E-3"/>
    <n v="0.982711389566991"/>
    <n v="1"/>
  </r>
  <r>
    <x v="0"/>
    <s v="2025-04-26 17:21:25"/>
    <n v="4"/>
    <x v="2"/>
    <x v="2"/>
    <x v="1"/>
    <n v="59"/>
    <n v="0"/>
    <s v="Unnamed ProjectPart.NumberInNumber InEntity"/>
    <n v="5"/>
    <n v="64"/>
    <n v="9.8488578017961039"/>
    <n v="0.95"/>
    <n v="12.228972155918482"/>
    <n v="51"/>
    <n v="77"/>
  </r>
  <r>
    <x v="0"/>
    <s v="2025-04-26 17:21:25"/>
    <n v="4"/>
    <x v="3"/>
    <x v="3"/>
    <x v="1"/>
    <n v="44"/>
    <n v="0"/>
    <s v="Unnamed ProjectPart.NumberOutNumber OutEntity"/>
    <n v="5"/>
    <n v="42.4"/>
    <n v="5.6833088953531448"/>
    <n v="0.95"/>
    <n v="7.0567600460312025"/>
    <n v="35"/>
    <n v="48"/>
  </r>
  <r>
    <x v="0"/>
    <s v="2025-04-26 17:21:25"/>
    <n v="4"/>
    <x v="4"/>
    <x v="3"/>
    <x v="2"/>
    <n v="44"/>
    <n v="0"/>
    <s v="Unnamed ProjectSystem.NumberOutNumber OutSystem"/>
    <n v="5"/>
    <n v="42.4"/>
    <n v="5.6833088953531448"/>
    <n v="0.95"/>
    <n v="7.0567600460312025"/>
    <n v="35"/>
    <n v="48"/>
  </r>
  <r>
    <x v="0"/>
    <s v="2025-04-26 17:21:25"/>
    <n v="5"/>
    <x v="0"/>
    <x v="0"/>
    <x v="0"/>
    <n v="48"/>
    <n v="0"/>
    <s v="Unnamed ProjectMachine.NumberSeizedTotal Number SeizedResource"/>
    <n v="5"/>
    <n v="42.6"/>
    <n v="5.8991524815010656"/>
    <n v="0.95"/>
    <n v="7.3247652561942678"/>
    <n v="35"/>
    <n v="48"/>
  </r>
  <r>
    <x v="0"/>
    <s v="2025-04-26 17:21:25"/>
    <n v="5"/>
    <x v="1"/>
    <x v="1"/>
    <x v="0"/>
    <n v="0.982711389566991"/>
    <n v="0"/>
    <s v="Unnamed ProjectMachine.ScheduledUtilizationScheduled UtilizationResource"/>
    <n v="5"/>
    <n v="0.99654227791339822"/>
    <n v="7.7317016329440397E-3"/>
    <n v="0.95"/>
    <n v="9.6001755624798672E-3"/>
    <n v="0.982711389566991"/>
    <n v="1"/>
  </r>
  <r>
    <x v="0"/>
    <s v="2025-04-26 17:21:25"/>
    <n v="5"/>
    <x v="2"/>
    <x v="2"/>
    <x v="1"/>
    <n v="77"/>
    <n v="0"/>
    <s v="Unnamed ProjectPart.NumberInNumber InEntity"/>
    <n v="5"/>
    <n v="64"/>
    <n v="9.8488578017961039"/>
    <n v="0.95"/>
    <n v="12.228972155918482"/>
    <n v="51"/>
    <n v="77"/>
  </r>
  <r>
    <x v="0"/>
    <s v="2025-04-26 17:21:25"/>
    <n v="5"/>
    <x v="3"/>
    <x v="3"/>
    <x v="1"/>
    <n v="47"/>
    <n v="0"/>
    <s v="Unnamed ProjectPart.NumberOutNumber OutEntity"/>
    <n v="5"/>
    <n v="42.4"/>
    <n v="5.6833088953531448"/>
    <n v="0.95"/>
    <n v="7.0567600460312025"/>
    <n v="35"/>
    <n v="48"/>
  </r>
  <r>
    <x v="0"/>
    <s v="2025-04-26 17:21:25"/>
    <n v="5"/>
    <x v="4"/>
    <x v="3"/>
    <x v="2"/>
    <n v="47"/>
    <n v="0"/>
    <s v="Unnamed ProjectSystem.NumberOutNumber OutSystem"/>
    <n v="5"/>
    <n v="42.4"/>
    <n v="5.6833088953531448"/>
    <n v="0.95"/>
    <n v="7.0567600460312025"/>
    <n v="35"/>
    <n v="4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s v="2025-04-26 17:21:25"/>
    <n v="1"/>
    <x v="0"/>
    <x v="0"/>
    <x v="0"/>
    <n v="10.3302063395373"/>
    <n v="2E+20"/>
    <n v="0"/>
    <n v="18"/>
    <n v="15"/>
    <n v="0"/>
    <s v="Unnamed ProjectHold 1.QueueNumber WaitingQueue"/>
    <n v="5"/>
    <n v="11.71564870437078"/>
    <n v="2.5434398035036327"/>
    <n v="0.95"/>
    <n v="3.1580976356089163"/>
    <n v="8.0348483255787002"/>
    <n v="14.515833437369601"/>
    <n v="3.1580976356089163"/>
  </r>
  <r>
    <x v="0"/>
    <s v="2025-04-26 17:21:25"/>
    <n v="1"/>
    <x v="1"/>
    <x v="0"/>
    <x v="0"/>
    <n v="0.98794815128475499"/>
    <n v="2E+20"/>
    <n v="0"/>
    <n v="1"/>
    <n v="1"/>
    <n v="0"/>
    <s v="Unnamed ProjectM1.QueueNumber WaitingQueue"/>
    <n v="5"/>
    <n v="0.98408706272758395"/>
    <n v="1.9607626167253388E-2"/>
    <n v="0.95"/>
    <n v="2.4346083502116582E-2"/>
    <n v="0.95246488026141696"/>
    <n v="1"/>
    <n v="2.4346083502116582E-2"/>
  </r>
  <r>
    <x v="0"/>
    <s v="2025-04-26 17:21:25"/>
    <n v="1"/>
    <x v="2"/>
    <x v="0"/>
    <x v="0"/>
    <n v="1"/>
    <n v="2E+20"/>
    <n v="0"/>
    <n v="1"/>
    <n v="1"/>
    <n v="0"/>
    <s v="Unnamed ProjectM2.QueueNumber WaitingQueue"/>
    <n v="5"/>
    <n v="0.97417816031549587"/>
    <n v="3.5364205592457752E-2"/>
    <n v="0.95"/>
    <n v="4.3910460909231001E-2"/>
    <n v="0.93450928820183798"/>
    <n v="1"/>
    <n v="4.3910460909231001E-2"/>
  </r>
  <r>
    <x v="0"/>
    <s v="2025-04-26 17:21:25"/>
    <n v="1"/>
    <x v="3"/>
    <x v="1"/>
    <x v="1"/>
    <n v="1"/>
    <n v="2E+20"/>
    <n v="0"/>
    <n v="1"/>
    <n v="1"/>
    <n v="0"/>
    <s v="Unnamed ProjectMachineInstantaneous UtilizationResource"/>
    <n v="5"/>
    <n v="0.99654227791339822"/>
    <n v="7.7317016329440397E-3"/>
    <n v="0.95"/>
    <n v="9.6001755624798672E-3"/>
    <n v="0.982711389566991"/>
    <n v="1"/>
    <n v="9.6001755624798672E-3"/>
  </r>
  <r>
    <x v="0"/>
    <s v="2025-04-26 17:21:25"/>
    <n v="1"/>
    <x v="3"/>
    <x v="2"/>
    <x v="1"/>
    <n v="1"/>
    <n v="2E+20"/>
    <n v="0"/>
    <n v="1"/>
    <n v="1"/>
    <n v="0"/>
    <s v="Unnamed ProjectMachineNumber BusyResource"/>
    <n v="5"/>
    <n v="0.99654227791339822"/>
    <n v="7.7317016329440397E-3"/>
    <n v="0.95"/>
    <n v="9.6001755624798672E-3"/>
    <n v="0.982711389566991"/>
    <n v="1"/>
    <n v="9.6001755624798672E-3"/>
  </r>
  <r>
    <x v="0"/>
    <s v="2025-04-26 17:21:25"/>
    <n v="1"/>
    <x v="3"/>
    <x v="3"/>
    <x v="1"/>
    <n v="1"/>
    <n v="2E+20"/>
    <n v="1"/>
    <n v="1"/>
    <n v="1"/>
    <n v="0"/>
    <s v="Unnamed ProjectMachineNumber ScheduledResource"/>
    <n v="5"/>
    <n v="1"/>
    <n v="0"/>
    <n v="0.95"/>
    <n v="0"/>
    <n v="1"/>
    <n v="1"/>
    <n v="0"/>
  </r>
  <r>
    <x v="0"/>
    <s v="2025-04-26 17:21:25"/>
    <n v="1"/>
    <x v="4"/>
    <x v="4"/>
    <x v="2"/>
    <n v="13.318154490822099"/>
    <n v="2E+20"/>
    <n v="2"/>
    <n v="21"/>
    <n v="18"/>
    <n v="0"/>
    <s v="Unnamed ProjectPartWIPEntity"/>
    <n v="5"/>
    <n v="14.67045620532728"/>
    <n v="2.5079257739398875"/>
    <n v="0.95"/>
    <n v="3.1140011436684696"/>
    <n v="11.0348483255787"/>
    <n v="17.432237232837"/>
    <n v="3.1140011436684696"/>
  </r>
  <r>
    <x v="0"/>
    <s v="2025-04-26 17:21:25"/>
    <n v="2"/>
    <x v="0"/>
    <x v="0"/>
    <x v="0"/>
    <n v="14.515833437369601"/>
    <n v="2E+20"/>
    <n v="0"/>
    <n v="27"/>
    <n v="25"/>
    <n v="0"/>
    <s v="Unnamed ProjectHold 1.QueueNumber WaitingQueue"/>
    <n v="5"/>
    <n v="11.71564870437078"/>
    <n v="2.5434398035036327"/>
    <n v="0.95"/>
    <n v="3.1580976356089163"/>
    <n v="8.0348483255787002"/>
    <n v="14.515833437369601"/>
    <n v="3.1580976356089163"/>
  </r>
  <r>
    <x v="0"/>
    <s v="2025-04-26 17:21:25"/>
    <n v="2"/>
    <x v="1"/>
    <x v="0"/>
    <x v="0"/>
    <n v="0.98002228209174802"/>
    <n v="2E+20"/>
    <n v="0"/>
    <n v="1"/>
    <n v="1"/>
    <n v="0"/>
    <s v="Unnamed ProjectM1.QueueNumber WaitingQueue"/>
    <n v="5"/>
    <n v="0.98408706272758395"/>
    <n v="1.9607626167253388E-2"/>
    <n v="0.95"/>
    <n v="2.4346083502116582E-2"/>
    <n v="0.95246488026141696"/>
    <n v="1"/>
    <n v="2.4346083502116582E-2"/>
  </r>
  <r>
    <x v="0"/>
    <s v="2025-04-26 17:21:25"/>
    <n v="2"/>
    <x v="2"/>
    <x v="0"/>
    <x v="0"/>
    <n v="0.93638151337564102"/>
    <n v="2E+20"/>
    <n v="0"/>
    <n v="1"/>
    <n v="1"/>
    <n v="0"/>
    <s v="Unnamed ProjectM2.QueueNumber WaitingQueue"/>
    <n v="5"/>
    <n v="0.97417816031549587"/>
    <n v="3.5364205592457752E-2"/>
    <n v="0.95"/>
    <n v="4.3910460909231001E-2"/>
    <n v="0.93450928820183798"/>
    <n v="1"/>
    <n v="4.3910460909231001E-2"/>
  </r>
  <r>
    <x v="0"/>
    <s v="2025-04-26 17:21:25"/>
    <n v="2"/>
    <x v="3"/>
    <x v="1"/>
    <x v="1"/>
    <n v="1"/>
    <n v="2E+20"/>
    <n v="0"/>
    <n v="1"/>
    <n v="1"/>
    <n v="0"/>
    <s v="Unnamed ProjectMachineInstantaneous UtilizationResource"/>
    <n v="5"/>
    <n v="0.99654227791339822"/>
    <n v="7.7317016329440397E-3"/>
    <n v="0.95"/>
    <n v="9.6001755624798672E-3"/>
    <n v="0.982711389566991"/>
    <n v="1"/>
    <n v="9.6001755624798672E-3"/>
  </r>
  <r>
    <x v="0"/>
    <s v="2025-04-26 17:21:25"/>
    <n v="2"/>
    <x v="3"/>
    <x v="2"/>
    <x v="1"/>
    <n v="1"/>
    <n v="2E+20"/>
    <n v="0"/>
    <n v="1"/>
    <n v="1"/>
    <n v="0"/>
    <s v="Unnamed ProjectMachineNumber BusyResource"/>
    <n v="5"/>
    <n v="0.99654227791339822"/>
    <n v="7.7317016329440397E-3"/>
    <n v="0.95"/>
    <n v="9.6001755624798672E-3"/>
    <n v="0.982711389566991"/>
    <n v="1"/>
    <n v="9.6001755624798672E-3"/>
  </r>
  <r>
    <x v="0"/>
    <s v="2025-04-26 17:21:25"/>
    <n v="2"/>
    <x v="3"/>
    <x v="3"/>
    <x v="1"/>
    <n v="1"/>
    <n v="2E+20"/>
    <n v="1"/>
    <n v="1"/>
    <n v="1"/>
    <n v="0"/>
    <s v="Unnamed ProjectMachineNumber ScheduledResource"/>
    <n v="5"/>
    <n v="1"/>
    <n v="0"/>
    <n v="0.95"/>
    <n v="0"/>
    <n v="1"/>
    <n v="1"/>
    <n v="0"/>
  </r>
  <r>
    <x v="0"/>
    <s v="2025-04-26 17:21:25"/>
    <n v="2"/>
    <x v="4"/>
    <x v="4"/>
    <x v="2"/>
    <n v="17.432237232837"/>
    <n v="2E+20"/>
    <n v="1"/>
    <n v="30"/>
    <n v="28"/>
    <n v="0"/>
    <s v="Unnamed ProjectPartWIPEntity"/>
    <n v="5"/>
    <n v="14.67045620532728"/>
    <n v="2.5079257739398875"/>
    <n v="0.95"/>
    <n v="3.1140011436684696"/>
    <n v="11.0348483255787"/>
    <n v="17.432237232837"/>
    <n v="3.1140011436684696"/>
  </r>
  <r>
    <x v="0"/>
    <s v="2025-04-26 17:21:25"/>
    <n v="3"/>
    <x v="0"/>
    <x v="0"/>
    <x v="0"/>
    <n v="12.843284718280801"/>
    <n v="2E+20"/>
    <n v="3"/>
    <n v="25"/>
    <n v="24"/>
    <n v="0"/>
    <s v="Unnamed ProjectHold 1.QueueNumber WaitingQueue"/>
    <n v="5"/>
    <n v="11.71564870437078"/>
    <n v="2.5434398035036327"/>
    <n v="0.95"/>
    <n v="3.1580976356089163"/>
    <n v="8.0348483255787002"/>
    <n v="14.515833437369601"/>
    <n v="3.1580976356089163"/>
  </r>
  <r>
    <x v="0"/>
    <s v="2025-04-26 17:21:25"/>
    <n v="3"/>
    <x v="1"/>
    <x v="0"/>
    <x v="0"/>
    <n v="1"/>
    <n v="2E+20"/>
    <n v="0"/>
    <n v="1"/>
    <n v="1"/>
    <n v="0"/>
    <s v="Unnamed ProjectM1.QueueNumber WaitingQueue"/>
    <n v="5"/>
    <n v="0.98408706272758395"/>
    <n v="1.9607626167253388E-2"/>
    <n v="0.95"/>
    <n v="2.4346083502116582E-2"/>
    <n v="0.95246488026141696"/>
    <n v="1"/>
    <n v="2.4346083502116582E-2"/>
  </r>
  <r>
    <x v="0"/>
    <s v="2025-04-26 17:21:25"/>
    <n v="3"/>
    <x v="2"/>
    <x v="0"/>
    <x v="0"/>
    <n v="1"/>
    <n v="2E+20"/>
    <n v="0"/>
    <n v="1"/>
    <n v="1"/>
    <n v="0"/>
    <s v="Unnamed ProjectM2.QueueNumber WaitingQueue"/>
    <n v="5"/>
    <n v="0.97417816031549587"/>
    <n v="3.5364205592457752E-2"/>
    <n v="0.95"/>
    <n v="4.3910460909231001E-2"/>
    <n v="0.93450928820183798"/>
    <n v="1"/>
    <n v="4.3910460909231001E-2"/>
  </r>
  <r>
    <x v="0"/>
    <s v="2025-04-26 17:21:25"/>
    <n v="3"/>
    <x v="3"/>
    <x v="1"/>
    <x v="1"/>
    <n v="1"/>
    <n v="2E+20"/>
    <n v="0"/>
    <n v="1"/>
    <n v="1"/>
    <n v="0"/>
    <s v="Unnamed ProjectMachineInstantaneous UtilizationResource"/>
    <n v="5"/>
    <n v="0.99654227791339822"/>
    <n v="7.7317016329440397E-3"/>
    <n v="0.95"/>
    <n v="9.6001755624798672E-3"/>
    <n v="0.982711389566991"/>
    <n v="1"/>
    <n v="9.6001755624798672E-3"/>
  </r>
  <r>
    <x v="0"/>
    <s v="2025-04-26 17:21:25"/>
    <n v="3"/>
    <x v="3"/>
    <x v="2"/>
    <x v="1"/>
    <n v="1"/>
    <n v="2E+20"/>
    <n v="0"/>
    <n v="1"/>
    <n v="1"/>
    <n v="0"/>
    <s v="Unnamed ProjectMachineNumber BusyResource"/>
    <n v="5"/>
    <n v="0.99654227791339822"/>
    <n v="7.7317016329440397E-3"/>
    <n v="0.95"/>
    <n v="9.6001755624798672E-3"/>
    <n v="0.982711389566991"/>
    <n v="1"/>
    <n v="9.6001755624798672E-3"/>
  </r>
  <r>
    <x v="0"/>
    <s v="2025-04-26 17:21:25"/>
    <n v="3"/>
    <x v="3"/>
    <x v="3"/>
    <x v="1"/>
    <n v="1"/>
    <n v="2E+20"/>
    <n v="1"/>
    <n v="1"/>
    <n v="1"/>
    <n v="0"/>
    <s v="Unnamed ProjectMachineNumber ScheduledResource"/>
    <n v="5"/>
    <n v="1"/>
    <n v="0"/>
    <n v="0.95"/>
    <n v="0"/>
    <n v="1"/>
    <n v="1"/>
    <n v="0"/>
  </r>
  <r>
    <x v="0"/>
    <s v="2025-04-26 17:21:25"/>
    <n v="3"/>
    <x v="4"/>
    <x v="4"/>
    <x v="2"/>
    <n v="15.843284718280801"/>
    <n v="2E+20"/>
    <n v="6"/>
    <n v="28"/>
    <n v="27"/>
    <n v="0"/>
    <s v="Unnamed ProjectPartWIPEntity"/>
    <n v="5"/>
    <n v="14.67045620532728"/>
    <n v="2.5079257739398875"/>
    <n v="0.95"/>
    <n v="3.1140011436684696"/>
    <n v="11.0348483255787"/>
    <n v="17.432237232837"/>
    <n v="3.1140011436684696"/>
  </r>
  <r>
    <x v="0"/>
    <s v="2025-04-26 17:21:25"/>
    <n v="4"/>
    <x v="0"/>
    <x v="0"/>
    <x v="0"/>
    <n v="8.0348483255787002"/>
    <n v="2E+20"/>
    <n v="0"/>
    <n v="18"/>
    <n v="17"/>
    <n v="0"/>
    <s v="Unnamed ProjectHold 1.QueueNumber WaitingQueue"/>
    <n v="5"/>
    <n v="11.71564870437078"/>
    <n v="2.5434398035036327"/>
    <n v="0.95"/>
    <n v="3.1580976356089163"/>
    <n v="8.0348483255787002"/>
    <n v="14.515833437369601"/>
    <n v="3.1580976356089163"/>
  </r>
  <r>
    <x v="0"/>
    <s v="2025-04-26 17:21:25"/>
    <n v="4"/>
    <x v="1"/>
    <x v="0"/>
    <x v="0"/>
    <n v="1"/>
    <n v="2E+20"/>
    <n v="0"/>
    <n v="1"/>
    <n v="1"/>
    <n v="0"/>
    <s v="Unnamed ProjectM1.QueueNumber WaitingQueue"/>
    <n v="5"/>
    <n v="0.98408706272758395"/>
    <n v="1.9607626167253388E-2"/>
    <n v="0.95"/>
    <n v="2.4346083502116582E-2"/>
    <n v="0.95246488026141696"/>
    <n v="1"/>
    <n v="2.4346083502116582E-2"/>
  </r>
  <r>
    <x v="0"/>
    <s v="2025-04-26 17:21:25"/>
    <n v="4"/>
    <x v="2"/>
    <x v="0"/>
    <x v="0"/>
    <n v="1"/>
    <n v="2E+20"/>
    <n v="0"/>
    <n v="1"/>
    <n v="1"/>
    <n v="0"/>
    <s v="Unnamed ProjectM2.QueueNumber WaitingQueue"/>
    <n v="5"/>
    <n v="0.97417816031549587"/>
    <n v="3.5364205592457752E-2"/>
    <n v="0.95"/>
    <n v="4.3910460909231001E-2"/>
    <n v="0.93450928820183798"/>
    <n v="1"/>
    <n v="4.3910460909231001E-2"/>
  </r>
  <r>
    <x v="0"/>
    <s v="2025-04-26 17:21:25"/>
    <n v="4"/>
    <x v="3"/>
    <x v="1"/>
    <x v="1"/>
    <n v="1"/>
    <n v="2E+20"/>
    <n v="0"/>
    <n v="1"/>
    <n v="1"/>
    <n v="0"/>
    <s v="Unnamed ProjectMachineInstantaneous UtilizationResource"/>
    <n v="5"/>
    <n v="0.99654227791339822"/>
    <n v="7.7317016329440397E-3"/>
    <n v="0.95"/>
    <n v="9.6001755624798672E-3"/>
    <n v="0.982711389566991"/>
    <n v="1"/>
    <n v="9.6001755624798672E-3"/>
  </r>
  <r>
    <x v="0"/>
    <s v="2025-04-26 17:21:25"/>
    <n v="4"/>
    <x v="3"/>
    <x v="2"/>
    <x v="1"/>
    <n v="1"/>
    <n v="2E+20"/>
    <n v="0"/>
    <n v="1"/>
    <n v="1"/>
    <n v="0"/>
    <s v="Unnamed ProjectMachineNumber BusyResource"/>
    <n v="5"/>
    <n v="0.99654227791339822"/>
    <n v="7.7317016329440397E-3"/>
    <n v="0.95"/>
    <n v="9.6001755624798672E-3"/>
    <n v="0.982711389566991"/>
    <n v="1"/>
    <n v="9.6001755624798672E-3"/>
  </r>
  <r>
    <x v="0"/>
    <s v="2025-04-26 17:21:25"/>
    <n v="4"/>
    <x v="3"/>
    <x v="3"/>
    <x v="1"/>
    <n v="1"/>
    <n v="2E+20"/>
    <n v="1"/>
    <n v="1"/>
    <n v="1"/>
    <n v="0"/>
    <s v="Unnamed ProjectMachineNumber ScheduledResource"/>
    <n v="5"/>
    <n v="1"/>
    <n v="0"/>
    <n v="0.95"/>
    <n v="0"/>
    <n v="1"/>
    <n v="1"/>
    <n v="0"/>
  </r>
  <r>
    <x v="0"/>
    <s v="2025-04-26 17:21:25"/>
    <n v="4"/>
    <x v="4"/>
    <x v="4"/>
    <x v="2"/>
    <n v="11.0348483255787"/>
    <n v="2E+20"/>
    <n v="3"/>
    <n v="21"/>
    <n v="20"/>
    <n v="0"/>
    <s v="Unnamed ProjectPartWIPEntity"/>
    <n v="5"/>
    <n v="14.67045620532728"/>
    <n v="2.5079257739398875"/>
    <n v="0.95"/>
    <n v="3.1140011436684696"/>
    <n v="11.0348483255787"/>
    <n v="17.432237232837"/>
    <n v="3.1140011436684696"/>
  </r>
  <r>
    <x v="0"/>
    <s v="2025-04-26 17:21:25"/>
    <n v="5"/>
    <x v="0"/>
    <x v="0"/>
    <x v="0"/>
    <n v="12.854070701087499"/>
    <n v="2E+20"/>
    <n v="0"/>
    <n v="28"/>
    <n v="27"/>
    <n v="0"/>
    <s v="Unnamed ProjectHold 1.QueueNumber WaitingQueue"/>
    <n v="5"/>
    <n v="11.71564870437078"/>
    <n v="2.5434398035036327"/>
    <n v="0.95"/>
    <n v="3.1580976356089163"/>
    <n v="8.0348483255787002"/>
    <n v="14.515833437369601"/>
    <n v="3.1580976356089163"/>
  </r>
  <r>
    <x v="0"/>
    <s v="2025-04-26 17:21:25"/>
    <n v="5"/>
    <x v="1"/>
    <x v="0"/>
    <x v="0"/>
    <n v="0.95246488026141696"/>
    <n v="2E+20"/>
    <n v="0"/>
    <n v="1"/>
    <n v="1"/>
    <n v="0"/>
    <s v="Unnamed ProjectM1.QueueNumber WaitingQueue"/>
    <n v="5"/>
    <n v="0.98408706272758395"/>
    <n v="1.9607626167253388E-2"/>
    <n v="0.95"/>
    <n v="2.4346083502116582E-2"/>
    <n v="0.95246488026141696"/>
    <n v="1"/>
    <n v="2.4346083502116582E-2"/>
  </r>
  <r>
    <x v="0"/>
    <s v="2025-04-26 17:21:25"/>
    <n v="5"/>
    <x v="2"/>
    <x v="0"/>
    <x v="0"/>
    <n v="0.93450928820183798"/>
    <n v="2E+20"/>
    <n v="0"/>
    <n v="1"/>
    <n v="1"/>
    <n v="0"/>
    <s v="Unnamed ProjectM2.QueueNumber WaitingQueue"/>
    <n v="5"/>
    <n v="0.97417816031549587"/>
    <n v="3.5364205592457752E-2"/>
    <n v="0.95"/>
    <n v="4.3910460909231001E-2"/>
    <n v="0.93450928820183798"/>
    <n v="1"/>
    <n v="4.3910460909231001E-2"/>
  </r>
  <r>
    <x v="0"/>
    <s v="2025-04-26 17:21:25"/>
    <n v="5"/>
    <x v="3"/>
    <x v="1"/>
    <x v="1"/>
    <n v="0.982711389566991"/>
    <n v="2E+20"/>
    <n v="0"/>
    <n v="1"/>
    <n v="1"/>
    <n v="0"/>
    <s v="Unnamed ProjectMachineInstantaneous UtilizationResource"/>
    <n v="5"/>
    <n v="0.99654227791339822"/>
    <n v="7.7317016329440397E-3"/>
    <n v="0.95"/>
    <n v="9.6001755624798672E-3"/>
    <n v="0.982711389566991"/>
    <n v="1"/>
    <n v="9.6001755624798672E-3"/>
  </r>
  <r>
    <x v="0"/>
    <s v="2025-04-26 17:21:25"/>
    <n v="5"/>
    <x v="3"/>
    <x v="2"/>
    <x v="1"/>
    <n v="0.982711389566991"/>
    <n v="2E+20"/>
    <n v="0"/>
    <n v="1"/>
    <n v="1"/>
    <n v="0"/>
    <s v="Unnamed ProjectMachineNumber BusyResource"/>
    <n v="5"/>
    <n v="0.99654227791339822"/>
    <n v="7.7317016329440397E-3"/>
    <n v="0.95"/>
    <n v="9.6001755624798672E-3"/>
    <n v="0.982711389566991"/>
    <n v="1"/>
    <n v="9.6001755624798672E-3"/>
  </r>
  <r>
    <x v="0"/>
    <s v="2025-04-26 17:21:25"/>
    <n v="5"/>
    <x v="3"/>
    <x v="3"/>
    <x v="1"/>
    <n v="1"/>
    <n v="2E+20"/>
    <n v="1"/>
    <n v="1"/>
    <n v="1"/>
    <n v="0"/>
    <s v="Unnamed ProjectMachineNumber ScheduledResource"/>
    <n v="5"/>
    <n v="1"/>
    <n v="0"/>
    <n v="0.95"/>
    <n v="0"/>
    <n v="1"/>
    <n v="1"/>
    <n v="0"/>
  </r>
  <r>
    <x v="0"/>
    <s v="2025-04-26 17:21:25"/>
    <n v="5"/>
    <x v="4"/>
    <x v="4"/>
    <x v="2"/>
    <n v="15.723756259117801"/>
    <n v="2E+20"/>
    <n v="0"/>
    <n v="31"/>
    <n v="30"/>
    <n v="0"/>
    <s v="Unnamed ProjectPartWIPEntity"/>
    <n v="5"/>
    <n v="14.67045620532728"/>
    <n v="2.5079257739398875"/>
    <n v="0.95"/>
    <n v="3.1140011436684696"/>
    <n v="11.0348483255787"/>
    <n v="17.432237232837"/>
    <n v="3.1140011436684696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1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3">
        <item m="1" x="14"/>
        <item m="1" x="37"/>
        <item m="1" x="9"/>
        <item m="1" x="89"/>
        <item m="1" x="72"/>
        <item m="1" x="42"/>
        <item m="1" x="98"/>
        <item m="1" x="30"/>
        <item m="1" x="34"/>
        <item m="1" x="101"/>
        <item m="1" x="67"/>
        <item m="1" x="79"/>
        <item m="1" x="84"/>
        <item m="1" x="8"/>
        <item m="1" x="36"/>
        <item m="1" x="26"/>
        <item m="1" x="102"/>
        <item m="1" x="96"/>
        <item m="1" x="24"/>
        <item m="1" x="18"/>
        <item m="1" x="90"/>
        <item m="1" x="10"/>
        <item m="1" x="43"/>
        <item m="1" x="29"/>
        <item m="1" x="54"/>
        <item m="1" x="81"/>
        <item m="1" x="45"/>
        <item m="1" x="15"/>
        <item m="1" x="39"/>
        <item m="1" x="68"/>
        <item m="1" x="58"/>
        <item m="1" x="16"/>
        <item m="1" x="75"/>
        <item m="1" x="7"/>
        <item m="1" x="95"/>
        <item m="1" x="63"/>
        <item m="1" x="83"/>
        <item m="1" x="38"/>
        <item m="1" x="97"/>
        <item m="1" x="66"/>
        <item m="1" x="20"/>
        <item m="1" x="57"/>
        <item m="1" x="71"/>
        <item m="1" x="82"/>
        <item m="1" x="88"/>
        <item m="1" x="6"/>
        <item m="1" x="19"/>
        <item m="1" x="28"/>
        <item m="1" x="21"/>
        <item m="1" x="5"/>
        <item m="1" x="80"/>
        <item m="1" x="92"/>
        <item m="1" x="32"/>
        <item m="1" x="62"/>
        <item m="1" x="23"/>
        <item m="1" x="40"/>
        <item m="1" x="27"/>
        <item m="1" x="48"/>
        <item m="1" x="35"/>
        <item m="1" x="55"/>
        <item m="1" x="41"/>
        <item m="1" x="64"/>
        <item m="1" x="49"/>
        <item m="1" x="69"/>
        <item m="1" x="56"/>
        <item m="1" x="77"/>
        <item m="1" x="70"/>
        <item m="1" x="85"/>
        <item m="1" x="93"/>
        <item m="1" x="73"/>
        <item m="1" x="52"/>
        <item m="1" x="33"/>
        <item m="1" x="46"/>
        <item m="1" x="17"/>
        <item m="1" x="22"/>
        <item m="1" x="31"/>
        <item m="1" x="59"/>
        <item m="1" x="94"/>
        <item m="1" x="87"/>
        <item m="1" x="74"/>
        <item m="1" x="47"/>
        <item m="1" x="60"/>
        <item m="1" x="51"/>
        <item m="1" x="76"/>
        <item m="1" x="61"/>
        <item m="1" x="44"/>
        <item m="1" x="50"/>
        <item m="1" x="13"/>
        <item m="1" x="53"/>
        <item m="1" x="65"/>
        <item m="1" x="78"/>
        <item m="1" x="86"/>
        <item m="1" x="91"/>
        <item m="1" x="100"/>
        <item m="1" x="11"/>
        <item m="1" x="25"/>
        <item m="1" x="99"/>
        <item m="1" x="12"/>
        <item m="1" x="4"/>
        <item x="0"/>
        <item x="1"/>
        <item x="2"/>
        <item x="3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9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1">
        <item m="1" x="29"/>
        <item m="1" x="6"/>
        <item m="1" x="30"/>
        <item m="1" x="7"/>
        <item m="1" x="31"/>
        <item m="1" x="8"/>
        <item m="1" x="32"/>
        <item m="1" x="9"/>
        <item m="1" x="63"/>
        <item m="1" x="19"/>
        <item x="4"/>
        <item m="1" x="62"/>
        <item m="1" x="49"/>
        <item m="1" x="66"/>
        <item m="1" x="51"/>
        <item m="1" x="67"/>
        <item m="1" x="74"/>
        <item x="0"/>
        <item x="1"/>
        <item m="1" x="60"/>
        <item m="1" x="50"/>
        <item m="1" x="48"/>
        <item m="1" x="15"/>
        <item m="1" x="58"/>
        <item m="1" x="24"/>
        <item m="1" x="59"/>
        <item m="1" x="25"/>
        <item m="1" x="57"/>
        <item m="1" x="77"/>
        <item m="1" x="18"/>
        <item m="1" x="80"/>
        <item m="1" x="45"/>
        <item m="1" x="13"/>
        <item m="1" x="75"/>
        <item m="1" x="70"/>
        <item m="1" x="46"/>
        <item m="1" x="14"/>
        <item m="1" x="76"/>
        <item m="1" x="71"/>
        <item m="1" x="10"/>
        <item m="1" x="43"/>
        <item m="1" x="27"/>
        <item m="1" x="17"/>
        <item m="1" x="68"/>
        <item m="1" x="39"/>
        <item m="1" x="69"/>
        <item m="1" x="40"/>
        <item m="1" x="26"/>
        <item m="1" x="21"/>
        <item m="1" x="47"/>
        <item m="1" x="23"/>
        <item m="1" x="79"/>
        <item m="1" x="72"/>
        <item m="1" x="22"/>
        <item m="1" x="20"/>
        <item m="1" x="64"/>
        <item m="1" x="73"/>
        <item m="1" x="11"/>
        <item m="1" x="28"/>
        <item m="1" x="41"/>
        <item m="1" x="61"/>
        <item m="1" x="78"/>
        <item m="1" x="12"/>
        <item m="1" x="38"/>
        <item m="1" x="42"/>
        <item m="1" x="65"/>
        <item m="1" x="44"/>
        <item m="1" x="16"/>
        <item m="1" x="33"/>
        <item m="1" x="52"/>
        <item m="1" x="34"/>
        <item m="1" x="53"/>
        <item m="1" x="35"/>
        <item m="1" x="54"/>
        <item m="1" x="36"/>
        <item m="1" x="55"/>
        <item m="1" x="37"/>
        <item m="1" x="56"/>
        <item m="1" x="5"/>
        <item x="2"/>
        <item x="3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17"/>
      <x v="3"/>
      <x v="1"/>
    </i>
    <i r="1">
      <x v="18"/>
      <x v="2"/>
      <x v="1"/>
    </i>
    <i r="1">
      <x v="79"/>
      <x/>
      <x/>
    </i>
    <i r="1">
      <x v="80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9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8">
        <item m="1" x="20"/>
        <item m="1" x="11"/>
        <item m="1" x="27"/>
        <item m="1" x="35"/>
        <item m="1" x="48"/>
        <item m="1" x="47"/>
        <item m="1" x="12"/>
        <item m="1" x="112"/>
        <item m="1" x="90"/>
        <item m="1" x="53"/>
        <item m="1" x="40"/>
        <item m="1" x="44"/>
        <item m="1" x="126"/>
        <item x="3"/>
        <item m="1" x="111"/>
        <item m="1" x="33"/>
        <item m="1" x="84"/>
        <item m="1" x="98"/>
        <item m="1" x="9"/>
        <item m="1" x="34"/>
        <item m="1" x="121"/>
        <item m="1" x="24"/>
        <item m="1" x="113"/>
        <item m="1" x="13"/>
        <item m="1" x="39"/>
        <item m="1" x="65"/>
        <item m="1" x="10"/>
        <item m="1" x="16"/>
        <item m="1" x="85"/>
        <item m="1" x="66"/>
        <item m="1" x="100"/>
        <item m="1" x="56"/>
        <item m="1" x="21"/>
        <item m="1" x="50"/>
        <item m="1" x="86"/>
        <item m="1" x="71"/>
        <item m="1" x="22"/>
        <item m="1" x="31"/>
        <item m="1" x="93"/>
        <item m="1" x="8"/>
        <item m="1" x="120"/>
        <item m="1" x="78"/>
        <item m="1" x="19"/>
        <item m="1" x="103"/>
        <item m="1" x="49"/>
        <item m="1" x="122"/>
        <item m="1" x="83"/>
        <item m="1" x="26"/>
        <item m="1" x="70"/>
        <item m="1" x="89"/>
        <item m="1" x="102"/>
        <item m="1" x="110"/>
        <item m="1" x="119"/>
        <item m="1" x="7"/>
        <item m="1" x="25"/>
        <item m="1" x="38"/>
        <item m="1" x="28"/>
        <item m="1" x="6"/>
        <item m="1" x="99"/>
        <item m="1" x="116"/>
        <item m="1" x="42"/>
        <item m="1" x="77"/>
        <item m="1" x="30"/>
        <item m="1" x="51"/>
        <item m="1" x="36"/>
        <item m="1" x="60"/>
        <item m="1" x="45"/>
        <item m="1" x="67"/>
        <item m="1" x="52"/>
        <item m="1" x="79"/>
        <item m="1" x="61"/>
        <item m="1" x="87"/>
        <item m="1" x="68"/>
        <item m="1" x="96"/>
        <item m="1" x="80"/>
        <item m="1" x="101"/>
        <item m="1" x="88"/>
        <item m="1" x="105"/>
        <item m="1" x="117"/>
        <item m="1" x="107"/>
        <item m="1" x="91"/>
        <item m="1" x="64"/>
        <item m="1" x="43"/>
        <item m="1" x="58"/>
        <item m="1" x="23"/>
        <item m="1" x="29"/>
        <item m="1" x="37"/>
        <item m="1" x="41"/>
        <item m="1" x="73"/>
        <item m="1" x="118"/>
        <item m="1" x="108"/>
        <item m="1" x="92"/>
        <item m="1" x="59"/>
        <item m="1" x="127"/>
        <item m="1" x="75"/>
        <item m="1" x="63"/>
        <item m="1" x="95"/>
        <item m="1" x="76"/>
        <item m="1" x="55"/>
        <item m="1" x="62"/>
        <item m="1" x="17"/>
        <item m="1" x="81"/>
        <item m="1" x="97"/>
        <item m="1" x="106"/>
        <item m="1" x="114"/>
        <item m="1" x="125"/>
        <item m="1" x="14"/>
        <item m="1" x="32"/>
        <item m="1" x="124"/>
        <item m="1" x="15"/>
        <item m="1" x="82"/>
        <item m="1" x="57"/>
        <item m="1" x="72"/>
        <item m="1" x="18"/>
        <item m="1" x="123"/>
        <item m="1" x="104"/>
        <item m="1" x="54"/>
        <item m="1" x="115"/>
        <item m="1" x="74"/>
        <item m="1" x="94"/>
        <item m="1" x="109"/>
        <item m="1" x="46"/>
        <item m="1" x="69"/>
        <item m="1" x="5"/>
        <item x="0"/>
        <item x="1"/>
        <item x="2"/>
        <item x="4"/>
      </items>
    </pivotField>
    <pivotField axis="axisRow" compact="0" outline="0" showAll="0" defaultSubtotal="0">
      <items count="7">
        <item x="1"/>
        <item x="2"/>
        <item x="3"/>
        <item x="0"/>
        <item x="4"/>
        <item m="1" x="6"/>
        <item m="1" x="5"/>
      </items>
    </pivotField>
    <pivotField axis="axisRow" compact="0" outline="0" showAll="0" defaultSubtotal="0">
      <items count="5">
        <item x="2"/>
        <item x="0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3"/>
      <x/>
      <x v="2"/>
    </i>
    <i r="2">
      <x v="1"/>
      <x v="2"/>
    </i>
    <i r="2">
      <x v="2"/>
      <x v="2"/>
    </i>
    <i r="1">
      <x v="124"/>
      <x v="3"/>
      <x v="1"/>
    </i>
    <i r="1">
      <x v="125"/>
      <x v="3"/>
      <x v="1"/>
    </i>
    <i r="1">
      <x v="126"/>
      <x v="3"/>
      <x v="1"/>
    </i>
    <i r="1">
      <x v="127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46" tableType="queryTable" totalsRowShown="0">
  <autoFilter ref="A1:Y46" xr:uid="{C3D003CA-1AFF-426C-A03D-D3AF5760DF1A}"/>
  <sortState xmlns:xlrd2="http://schemas.microsoft.com/office/spreadsheetml/2017/richdata2" ref="A2:Y46">
    <sortCondition ref="D1:D46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36" tableType="queryTable" totalsRowShown="0">
  <autoFilter ref="A1:U3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6" tableType="queryTable" totalsRowShown="0">
  <autoFilter ref="A1:P2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58.7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68</v>
      </c>
      <c r="C2" t="s">
        <v>69</v>
      </c>
      <c r="D2">
        <v>2</v>
      </c>
      <c r="E2">
        <v>5</v>
      </c>
      <c r="F2">
        <v>90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1"/>
  <sheetViews>
    <sheetView tabSelected="1" workbookViewId="0"/>
  </sheetViews>
  <sheetFormatPr defaultRowHeight="14" x14ac:dyDescent="0.3"/>
  <cols>
    <col min="1" max="1" width="33.332031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8.9140625" bestFit="1" customWidth="1"/>
    <col min="31" max="31" width="25.5" bestFit="1" customWidth="1"/>
    <col min="32" max="32" width="10.66406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33203125" bestFit="1" customWidth="1"/>
    <col min="56" max="56" width="31.9140625" bestFit="1" customWidth="1"/>
    <col min="57" max="57" width="21.664062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70</v>
      </c>
      <c r="C3" t="s">
        <v>71</v>
      </c>
      <c r="D3" t="s">
        <v>72</v>
      </c>
      <c r="E3" s="5">
        <v>16.719706175135258</v>
      </c>
      <c r="F3" s="5">
        <v>1</v>
      </c>
      <c r="G3" s="5">
        <v>3.8093617940516746</v>
      </c>
      <c r="H3" s="5">
        <v>3.0679489777930544</v>
      </c>
      <c r="I3" s="5">
        <v>12.055228937069201</v>
      </c>
      <c r="J3" s="5">
        <v>19.648232961546999</v>
      </c>
      <c r="K3" s="5">
        <v>0</v>
      </c>
      <c r="L3" s="5">
        <v>39.336824199477498</v>
      </c>
      <c r="M3" s="5">
        <v>43.4</v>
      </c>
      <c r="O3" t="s">
        <v>66</v>
      </c>
      <c r="P3" t="s">
        <v>84</v>
      </c>
      <c r="Q3" t="s">
        <v>85</v>
      </c>
      <c r="R3" t="s">
        <v>86</v>
      </c>
      <c r="S3" s="5">
        <v>0.99654227791339822</v>
      </c>
      <c r="T3" s="5">
        <v>9.6001755624798672E-3</v>
      </c>
      <c r="U3" s="5">
        <v>7.7317016329440397E-3</v>
      </c>
      <c r="V3" s="5">
        <v>0.982711389566991</v>
      </c>
      <c r="W3" s="5">
        <v>1</v>
      </c>
      <c r="X3" s="5">
        <v>0</v>
      </c>
      <c r="Y3" s="5">
        <v>1</v>
      </c>
      <c r="AA3" t="s">
        <v>100</v>
      </c>
      <c r="AB3" t="s">
        <v>100</v>
      </c>
      <c r="AC3" t="s">
        <v>100</v>
      </c>
      <c r="AD3" t="s">
        <v>100</v>
      </c>
      <c r="AE3" s="5"/>
      <c r="AF3" s="5"/>
      <c r="AG3" s="5"/>
      <c r="AH3" s="5"/>
      <c r="AI3" s="5"/>
      <c r="AK3" t="s">
        <v>66</v>
      </c>
      <c r="AL3" t="s">
        <v>98</v>
      </c>
      <c r="AM3" t="s">
        <v>97</v>
      </c>
      <c r="AN3" t="s">
        <v>99</v>
      </c>
      <c r="AO3" s="5">
        <v>42.4</v>
      </c>
      <c r="AP3" s="5">
        <v>7.0567600460312025</v>
      </c>
      <c r="AQ3" s="5">
        <v>5.6833088953531448</v>
      </c>
      <c r="AR3" s="5">
        <v>35</v>
      </c>
      <c r="AS3" s="5">
        <v>48</v>
      </c>
      <c r="AU3" t="s">
        <v>100</v>
      </c>
      <c r="AV3" t="s">
        <v>100</v>
      </c>
      <c r="AW3" t="s">
        <v>100</v>
      </c>
      <c r="AX3" t="s">
        <v>100</v>
      </c>
      <c r="AY3" s="4"/>
      <c r="AZ3" s="4"/>
    </row>
    <row r="4" spans="1:52" x14ac:dyDescent="0.3">
      <c r="B4" t="s">
        <v>73</v>
      </c>
      <c r="C4" t="s">
        <v>71</v>
      </c>
      <c r="D4" t="s">
        <v>72</v>
      </c>
      <c r="E4" s="5">
        <v>4.2138631343027662</v>
      </c>
      <c r="F4" s="5">
        <v>1</v>
      </c>
      <c r="G4" s="5">
        <v>0.82884087738659773</v>
      </c>
      <c r="H4" s="5">
        <v>0.66752428884595916</v>
      </c>
      <c r="I4" s="5">
        <v>3.24427146737131</v>
      </c>
      <c r="J4" s="5">
        <v>5.0039235559767201</v>
      </c>
      <c r="K4" s="5">
        <v>0</v>
      </c>
      <c r="L4" s="5">
        <v>16.214393402961399</v>
      </c>
      <c r="M4" s="5">
        <v>21.8</v>
      </c>
      <c r="Q4" t="s">
        <v>87</v>
      </c>
      <c r="R4" t="s">
        <v>86</v>
      </c>
      <c r="S4" s="5">
        <v>0.99654227791339822</v>
      </c>
      <c r="T4" s="5">
        <v>9.6001755624798672E-3</v>
      </c>
      <c r="U4" s="5">
        <v>7.7317016329440397E-3</v>
      </c>
      <c r="V4" s="5">
        <v>0.982711389566991</v>
      </c>
      <c r="W4" s="5">
        <v>1</v>
      </c>
      <c r="X4" s="5">
        <v>0</v>
      </c>
      <c r="Y4" s="5">
        <v>1</v>
      </c>
      <c r="AL4" t="s">
        <v>90</v>
      </c>
      <c r="AM4" t="s">
        <v>91</v>
      </c>
      <c r="AN4" t="s">
        <v>86</v>
      </c>
      <c r="AO4" s="5">
        <v>42.6</v>
      </c>
      <c r="AP4" s="5">
        <v>7.3247652561942678</v>
      </c>
      <c r="AQ4" s="5">
        <v>5.8991524815010656</v>
      </c>
      <c r="AR4" s="5">
        <v>35</v>
      </c>
      <c r="AS4" s="5">
        <v>48</v>
      </c>
    </row>
    <row r="5" spans="1:52" x14ac:dyDescent="0.3">
      <c r="B5" t="s">
        <v>74</v>
      </c>
      <c r="C5" t="s">
        <v>71</v>
      </c>
      <c r="D5" t="s">
        <v>72</v>
      </c>
      <c r="E5" s="5">
        <v>4.2780885638947659</v>
      </c>
      <c r="F5" s="5">
        <v>1</v>
      </c>
      <c r="G5" s="5">
        <v>0.69204276763235695</v>
      </c>
      <c r="H5" s="5">
        <v>0.55735107777425386</v>
      </c>
      <c r="I5" s="5">
        <v>3.67832233990806</v>
      </c>
      <c r="J5" s="5">
        <v>5.0570387283651801</v>
      </c>
      <c r="K5" s="5">
        <v>0.457055676970683</v>
      </c>
      <c r="L5" s="5">
        <v>16.5744973518363</v>
      </c>
      <c r="M5" s="5">
        <v>20.8</v>
      </c>
      <c r="Q5" t="s">
        <v>88</v>
      </c>
      <c r="R5" t="s">
        <v>86</v>
      </c>
      <c r="S5" s="5">
        <v>1</v>
      </c>
      <c r="T5" s="5">
        <v>0</v>
      </c>
      <c r="U5" s="5">
        <v>0</v>
      </c>
      <c r="V5" s="5">
        <v>1</v>
      </c>
      <c r="W5" s="5">
        <v>1</v>
      </c>
      <c r="X5" s="5">
        <v>1</v>
      </c>
      <c r="Y5" s="5">
        <v>1</v>
      </c>
      <c r="AL5" t="s">
        <v>92</v>
      </c>
      <c r="AM5" t="s">
        <v>93</v>
      </c>
      <c r="AN5" t="s">
        <v>86</v>
      </c>
      <c r="AO5" s="5">
        <v>0.99654227791339822</v>
      </c>
      <c r="AP5" s="5">
        <v>9.6001755624798672E-3</v>
      </c>
      <c r="AQ5" s="5">
        <v>7.7317016329440397E-3</v>
      </c>
      <c r="AR5" s="5">
        <v>0.982711389566991</v>
      </c>
      <c r="AS5" s="5">
        <v>1</v>
      </c>
    </row>
    <row r="6" spans="1:52" x14ac:dyDescent="0.3">
      <c r="B6" t="s">
        <v>75</v>
      </c>
      <c r="C6" t="s">
        <v>76</v>
      </c>
      <c r="D6" t="s">
        <v>77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42.4</v>
      </c>
      <c r="P6" t="s">
        <v>70</v>
      </c>
      <c r="Q6" t="s">
        <v>83</v>
      </c>
      <c r="R6" t="s">
        <v>72</v>
      </c>
      <c r="S6" s="5">
        <v>11.71564870437078</v>
      </c>
      <c r="T6" s="5">
        <v>3.1580976356089163</v>
      </c>
      <c r="U6" s="5">
        <v>2.5434398035036327</v>
      </c>
      <c r="V6" s="5">
        <v>8.0348483255787002</v>
      </c>
      <c r="W6" s="5">
        <v>14.515833437369601</v>
      </c>
      <c r="X6" s="5">
        <v>0</v>
      </c>
      <c r="Y6" s="5">
        <v>28</v>
      </c>
      <c r="AL6" t="s">
        <v>94</v>
      </c>
      <c r="AM6" t="s">
        <v>95</v>
      </c>
      <c r="AN6" t="s">
        <v>77</v>
      </c>
      <c r="AO6" s="5">
        <v>64</v>
      </c>
      <c r="AP6" s="5">
        <v>12.228972155918482</v>
      </c>
      <c r="AQ6" s="5">
        <v>9.8488578017961039</v>
      </c>
      <c r="AR6" s="5">
        <v>51</v>
      </c>
      <c r="AS6" s="5">
        <v>77</v>
      </c>
    </row>
    <row r="7" spans="1:52" x14ac:dyDescent="0.3">
      <c r="C7" t="s">
        <v>78</v>
      </c>
      <c r="D7" t="s">
        <v>77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42.4</v>
      </c>
      <c r="P7" t="s">
        <v>73</v>
      </c>
      <c r="Q7" t="s">
        <v>83</v>
      </c>
      <c r="R7" t="s">
        <v>72</v>
      </c>
      <c r="S7" s="5">
        <v>0.98408706272758395</v>
      </c>
      <c r="T7" s="5">
        <v>2.4346083502116582E-2</v>
      </c>
      <c r="U7" s="5">
        <v>1.9607626167253388E-2</v>
      </c>
      <c r="V7" s="5">
        <v>0.95246488026141696</v>
      </c>
      <c r="W7" s="5">
        <v>1</v>
      </c>
      <c r="X7" s="5">
        <v>0</v>
      </c>
      <c r="Y7" s="5">
        <v>1</v>
      </c>
      <c r="AL7" t="s">
        <v>96</v>
      </c>
      <c r="AM7" t="s">
        <v>97</v>
      </c>
      <c r="AN7" t="s">
        <v>77</v>
      </c>
      <c r="AO7" s="5">
        <v>42.4</v>
      </c>
      <c r="AP7" s="5">
        <v>7.0567600460312025</v>
      </c>
      <c r="AQ7" s="5">
        <v>5.6833088953531448</v>
      </c>
      <c r="AR7" s="5">
        <v>35</v>
      </c>
      <c r="AS7" s="5">
        <v>48</v>
      </c>
    </row>
    <row r="8" spans="1:52" x14ac:dyDescent="0.3">
      <c r="C8" t="s">
        <v>79</v>
      </c>
      <c r="D8" t="s">
        <v>77</v>
      </c>
      <c r="E8" s="5">
        <v>21.45310600011474</v>
      </c>
      <c r="F8" s="5">
        <v>1</v>
      </c>
      <c r="G8" s="5">
        <v>3.7517237800842991</v>
      </c>
      <c r="H8" s="5">
        <v>3.0215290010112872</v>
      </c>
      <c r="I8" s="5">
        <v>16.884806770489899</v>
      </c>
      <c r="J8" s="5">
        <v>23.944518833858901</v>
      </c>
      <c r="K8" s="5">
        <v>0.44164150823048898</v>
      </c>
      <c r="L8" s="5">
        <v>44.004094279671698</v>
      </c>
      <c r="M8" s="5">
        <v>42.4</v>
      </c>
      <c r="P8" t="s">
        <v>74</v>
      </c>
      <c r="Q8" t="s">
        <v>83</v>
      </c>
      <c r="R8" t="s">
        <v>72</v>
      </c>
      <c r="S8" s="5">
        <v>0.97417816031549587</v>
      </c>
      <c r="T8" s="5">
        <v>4.3910460909231001E-2</v>
      </c>
      <c r="U8" s="5">
        <v>3.5364205592457752E-2</v>
      </c>
      <c r="V8" s="5">
        <v>0.93450928820183798</v>
      </c>
      <c r="W8" s="5">
        <v>1</v>
      </c>
      <c r="X8" s="5">
        <v>0</v>
      </c>
      <c r="Y8" s="5">
        <v>1</v>
      </c>
    </row>
    <row r="9" spans="1:52" x14ac:dyDescent="0.3">
      <c r="C9" t="s">
        <v>80</v>
      </c>
      <c r="D9" t="s">
        <v>77</v>
      </c>
      <c r="E9" s="5">
        <v>0</v>
      </c>
      <c r="F9" s="5">
        <v>1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42.4</v>
      </c>
      <c r="P9" t="s">
        <v>75</v>
      </c>
      <c r="Q9" t="s">
        <v>89</v>
      </c>
      <c r="R9" t="s">
        <v>77</v>
      </c>
      <c r="S9" s="5">
        <v>14.67045620532728</v>
      </c>
      <c r="T9" s="5">
        <v>3.1140011436684696</v>
      </c>
      <c r="U9" s="5">
        <v>2.5079257739398875</v>
      </c>
      <c r="V9" s="5">
        <v>11.0348483255787</v>
      </c>
      <c r="W9" s="5">
        <v>17.432237232837</v>
      </c>
      <c r="X9" s="5">
        <v>0</v>
      </c>
      <c r="Y9" s="5">
        <v>31</v>
      </c>
    </row>
    <row r="10" spans="1:52" x14ac:dyDescent="0.3">
      <c r="C10" t="s">
        <v>81</v>
      </c>
      <c r="D10" t="s">
        <v>77</v>
      </c>
      <c r="E10" s="5">
        <v>2.2099146904028522</v>
      </c>
      <c r="F10" s="5">
        <v>1</v>
      </c>
      <c r="G10" s="5">
        <v>0.37909315563305479</v>
      </c>
      <c r="H10" s="5">
        <v>0.30531058014202289</v>
      </c>
      <c r="I10" s="5">
        <v>1.8526222125352301</v>
      </c>
      <c r="J10" s="5">
        <v>2.5837784480297801</v>
      </c>
      <c r="K10" s="5">
        <v>7.3731313490199601E-4</v>
      </c>
      <c r="L10" s="5">
        <v>16.165131141916099</v>
      </c>
      <c r="M10" s="5">
        <v>42.4</v>
      </c>
    </row>
    <row r="11" spans="1:52" x14ac:dyDescent="0.3">
      <c r="C11" t="s">
        <v>82</v>
      </c>
      <c r="D11" t="s">
        <v>77</v>
      </c>
      <c r="E11" s="5">
        <v>19.243191309711921</v>
      </c>
      <c r="F11" s="5">
        <v>1</v>
      </c>
      <c r="G11" s="5">
        <v>3.6252241646184302</v>
      </c>
      <c r="H11" s="5">
        <v>2.9196498971241902</v>
      </c>
      <c r="I11" s="5">
        <v>14.6208053359345</v>
      </c>
      <c r="J11" s="5">
        <v>21.546321300500001</v>
      </c>
      <c r="K11" s="5">
        <v>0</v>
      </c>
      <c r="L11" s="5">
        <v>41.858220772647499</v>
      </c>
      <c r="M11" s="5">
        <v>42.4</v>
      </c>
    </row>
  </sheetData>
  <dataConsolidate/>
  <phoneticPr fontId="3" type="noConversion"/>
  <conditionalFormatting pivot="1" sqref="G3:G11">
    <cfRule type="expression" dxfId="31" priority="14">
      <formula>G3=200000000000000000000</formula>
    </cfRule>
  </conditionalFormatting>
  <conditionalFormatting pivot="1" sqref="T3:T9">
    <cfRule type="expression" dxfId="30" priority="13">
      <formula>T3=200000000000000000000</formula>
    </cfRule>
  </conditionalFormatting>
  <conditionalFormatting pivot="1" sqref="T3:T9">
    <cfRule type="expression" dxfId="29" priority="12">
      <formula>T3=300000000000000000000</formula>
    </cfRule>
  </conditionalFormatting>
  <conditionalFormatting pivot="1" sqref="G3:G11">
    <cfRule type="expression" dxfId="28" priority="11">
      <formula>G3=300000000000000000000</formula>
    </cfRule>
  </conditionalFormatting>
  <conditionalFormatting pivot="1" sqref="F3:F11">
    <cfRule type="expression" dxfId="27" priority="10">
      <formula>F3=0</formula>
    </cfRule>
  </conditionalFormatting>
  <conditionalFormatting pivot="1" sqref="F3:F11">
    <cfRule type="expression" dxfId="26" priority="9">
      <formula>F3=1</formula>
    </cfRule>
  </conditionalFormatting>
  <conditionalFormatting pivot="1" sqref="T3:T9">
    <cfRule type="expression" dxfId="25" priority="8">
      <formula>T3=400000000000000000000</formula>
    </cfRule>
  </conditionalFormatting>
  <conditionalFormatting pivot="1" sqref="AP3:AP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1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61"/>
  <sheetViews>
    <sheetView workbookViewId="0">
      <selection activeCell="A2" sqref="A2:K6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2.332031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43.8320312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18.304488820687101</v>
      </c>
      <c r="H2">
        <v>2E+20</v>
      </c>
      <c r="I2">
        <v>0</v>
      </c>
      <c r="J2">
        <v>31.2420715122757</v>
      </c>
      <c r="K2">
        <v>36</v>
      </c>
      <c r="L2" t="str">
        <f>DiscreteStatsTable[[#This Row],[ProjectName]]&amp;DiscreteStatsTable[[#This Row],[Name]]&amp;DiscreteStatsTable[[#This Row],[Type]]&amp;DiscreteStatsTable[[#This Row],[Source]]</f>
        <v>Unnamed ProjectHold 1.QueueWaiting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16.719706175135258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3.0679489777930544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3.8093617940516746</v>
      </c>
      <c r="R2" cm="1">
        <f t="array" ref="R2">MIN(IF((DiscreteStatsTable[GroupByKey]=DiscreteStatsTable[[#This Row],[GroupByKey]]),(DiscreteStatsTable[GroupByKey]=DiscreteStatsTable[[#This Row],[GroupByKey]])*DiscreteStatsTable[Average]))</f>
        <v>12.055228937069201</v>
      </c>
      <c r="S2" cm="1">
        <f t="array" ref="S2">MAX(IF((DiscreteStatsTable[GroupByKey]=DiscreteStatsTable[[#This Row],[GroupByKey]]),(DiscreteStatsTable[GroupByKey]=DiscreteStatsTable[[#This Row],[GroupByKey]])*DiscreteStatsTable[Average]))</f>
        <v>19.648232961546999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39.336824199477498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43.4</v>
      </c>
      <c r="W2">
        <f>IF((DiscreteStatsTable[[#This Row],[RepsRequested]]&gt;1),DiscreteStatsTable[[#This Row],[HalfWidth]],DiscreteStatsTable[[#This Row],[BatchMeansHalfWidth]])</f>
        <v>3.8093617940516746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69</v>
      </c>
      <c r="C3">
        <v>2</v>
      </c>
      <c r="D3" t="s">
        <v>70</v>
      </c>
      <c r="E3" t="s">
        <v>71</v>
      </c>
      <c r="F3" t="s">
        <v>72</v>
      </c>
      <c r="G3">
        <v>19.648232961546999</v>
      </c>
      <c r="H3">
        <v>2E+20</v>
      </c>
      <c r="I3">
        <v>0</v>
      </c>
      <c r="J3">
        <v>39.336824199477498</v>
      </c>
      <c r="K3">
        <v>39</v>
      </c>
      <c r="L3" t="str">
        <f>DiscreteStatsTable[[#This Row],[ProjectName]]&amp;DiscreteStatsTable[[#This Row],[Name]]&amp;DiscreteStatsTable[[#This Row],[Type]]&amp;DiscreteStatsTable[[#This Row],[Source]]</f>
        <v>Unnamed ProjectHold 1.QueueWaiting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16.719706175135258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3.0679489777930544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3.8093617940516746</v>
      </c>
      <c r="R3" cm="1">
        <f t="array" ref="R3">MIN(IF((DiscreteStatsTable[GroupByKey]=DiscreteStatsTable[[#This Row],[GroupByKey]]),(DiscreteStatsTable[GroupByKey]=DiscreteStatsTable[[#This Row],[GroupByKey]])*DiscreteStatsTable[Average]))</f>
        <v>12.055228937069201</v>
      </c>
      <c r="S3" cm="1">
        <f t="array" ref="S3">MAX(IF((DiscreteStatsTable[GroupByKey]=DiscreteStatsTable[[#This Row],[GroupByKey]]),(DiscreteStatsTable[GroupByKey]=DiscreteStatsTable[[#This Row],[GroupByKey]])*DiscreteStatsTable[Average]))</f>
        <v>19.648232961546999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39.336824199477498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43.4</v>
      </c>
      <c r="W3">
        <f>IF((DiscreteStatsTable[[#This Row],[RepsRequested]]&gt;1),DiscreteStatsTable[[#This Row],[HalfWidth]],DiscreteStatsTable[[#This Row],[BatchMeansHalfWidth]])</f>
        <v>3.8093617940516746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69</v>
      </c>
      <c r="C4">
        <v>3</v>
      </c>
      <c r="D4" t="s">
        <v>70</v>
      </c>
      <c r="E4" t="s">
        <v>71</v>
      </c>
      <c r="F4" t="s">
        <v>72</v>
      </c>
      <c r="G4">
        <v>18.343299249954399</v>
      </c>
      <c r="H4">
        <v>2E+20</v>
      </c>
      <c r="I4">
        <v>5.8257344364458898</v>
      </c>
      <c r="J4">
        <v>31.2890750511081</v>
      </c>
      <c r="K4">
        <v>48</v>
      </c>
      <c r="L4" t="str">
        <f>DiscreteStatsTable[[#This Row],[ProjectName]]&amp;DiscreteStatsTable[[#This Row],[Name]]&amp;DiscreteStatsTable[[#This Row],[Type]]&amp;DiscreteStatsTable[[#This Row],[Source]]</f>
        <v>Unnamed ProjectHold 1.QueueWaiting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16.719706175135258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3.0679489777930544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3.8093617940516746</v>
      </c>
      <c r="R4" cm="1">
        <f t="array" ref="R4">MIN(IF((DiscreteStatsTable[GroupByKey]=DiscreteStatsTable[[#This Row],[GroupByKey]]),(DiscreteStatsTable[GroupByKey]=DiscreteStatsTable[[#This Row],[GroupByKey]])*DiscreteStatsTable[Average]))</f>
        <v>12.055228937069201</v>
      </c>
      <c r="S4" cm="1">
        <f t="array" ref="S4">MAX(IF((DiscreteStatsTable[GroupByKey]=DiscreteStatsTable[[#This Row],[GroupByKey]]),(DiscreteStatsTable[GroupByKey]=DiscreteStatsTable[[#This Row],[GroupByKey]])*DiscreteStatsTable[Average]))</f>
        <v>19.648232961546999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39.336824199477498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43.4</v>
      </c>
      <c r="W4">
        <f>IF((DiscreteStatsTable[[#This Row],[RepsRequested]]&gt;1),DiscreteStatsTable[[#This Row],[HalfWidth]],DiscreteStatsTable[[#This Row],[BatchMeansHalfWidth]])</f>
        <v>3.8093617940516746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69</v>
      </c>
      <c r="C5">
        <v>4</v>
      </c>
      <c r="D5" t="s">
        <v>70</v>
      </c>
      <c r="E5" t="s">
        <v>71</v>
      </c>
      <c r="F5" t="s">
        <v>72</v>
      </c>
      <c r="G5">
        <v>12.055228937069201</v>
      </c>
      <c r="H5">
        <v>2E+20</v>
      </c>
      <c r="I5">
        <v>0.80632968586365195</v>
      </c>
      <c r="J5">
        <v>25.087113277815199</v>
      </c>
      <c r="K5">
        <v>44</v>
      </c>
      <c r="L5" t="str">
        <f>DiscreteStatsTable[[#This Row],[ProjectName]]&amp;DiscreteStatsTable[[#This Row],[Name]]&amp;DiscreteStatsTable[[#This Row],[Type]]&amp;DiscreteStatsTable[[#This Row],[Source]]</f>
        <v>Unnamed ProjectHold 1.QueueWaiting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16.719706175135258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3.0679489777930544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3.8093617940516746</v>
      </c>
      <c r="R5" cm="1">
        <f t="array" ref="R5">MIN(IF((DiscreteStatsTable[GroupByKey]=DiscreteStatsTable[[#This Row],[GroupByKey]]),(DiscreteStatsTable[GroupByKey]=DiscreteStatsTable[[#This Row],[GroupByKey]])*DiscreteStatsTable[Average]))</f>
        <v>12.055228937069201</v>
      </c>
      <c r="S5" cm="1">
        <f t="array" ref="S5">MAX(IF((DiscreteStatsTable[GroupByKey]=DiscreteStatsTable[[#This Row],[GroupByKey]]),(DiscreteStatsTable[GroupByKey]=DiscreteStatsTable[[#This Row],[GroupByKey]])*DiscreteStatsTable[Average]))</f>
        <v>19.648232961546999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39.336824199477498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43.4</v>
      </c>
      <c r="W5">
        <f>IF((DiscreteStatsTable[[#This Row],[RepsRequested]]&gt;1),DiscreteStatsTable[[#This Row],[HalfWidth]],DiscreteStatsTable[[#This Row],[BatchMeansHalfWidth]])</f>
        <v>3.8093617940516746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69</v>
      </c>
      <c r="C6">
        <v>5</v>
      </c>
      <c r="D6" t="s">
        <v>70</v>
      </c>
      <c r="E6" t="s">
        <v>71</v>
      </c>
      <c r="F6" t="s">
        <v>72</v>
      </c>
      <c r="G6">
        <v>15.247280906418601</v>
      </c>
      <c r="H6">
        <v>2E+20</v>
      </c>
      <c r="I6">
        <v>0</v>
      </c>
      <c r="J6">
        <v>27.237592976258298</v>
      </c>
      <c r="K6">
        <v>50</v>
      </c>
      <c r="L6" t="str">
        <f>DiscreteStatsTable[[#This Row],[ProjectName]]&amp;DiscreteStatsTable[[#This Row],[Name]]&amp;DiscreteStatsTable[[#This Row],[Type]]&amp;DiscreteStatsTable[[#This Row],[Source]]</f>
        <v>Unnamed ProjectHold 1.QueueWaiting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16.719706175135258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3.0679489777930544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3.8093617940516746</v>
      </c>
      <c r="R6" cm="1">
        <f t="array" ref="R6">MIN(IF((DiscreteStatsTable[GroupByKey]=DiscreteStatsTable[[#This Row],[GroupByKey]]),(DiscreteStatsTable[GroupByKey]=DiscreteStatsTable[[#This Row],[GroupByKey]])*DiscreteStatsTable[Average]))</f>
        <v>12.055228937069201</v>
      </c>
      <c r="S6" cm="1">
        <f t="array" ref="S6">MAX(IF((DiscreteStatsTable[GroupByKey]=DiscreteStatsTable[[#This Row],[GroupByKey]]),(DiscreteStatsTable[GroupByKey]=DiscreteStatsTable[[#This Row],[GroupByKey]])*DiscreteStatsTable[Average]))</f>
        <v>19.648232961546999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39.336824199477498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43.4</v>
      </c>
      <c r="W6">
        <f>IF((DiscreteStatsTable[[#This Row],[RepsRequested]]&gt;1),DiscreteStatsTable[[#This Row],[HalfWidth]],DiscreteStatsTable[[#This Row],[BatchMeansHalfWidth]])</f>
        <v>3.8093617940516746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69</v>
      </c>
      <c r="C7">
        <v>1</v>
      </c>
      <c r="D7" t="s">
        <v>73</v>
      </c>
      <c r="E7" t="s">
        <v>71</v>
      </c>
      <c r="F7" t="s">
        <v>72</v>
      </c>
      <c r="G7">
        <v>5.0039235559767201</v>
      </c>
      <c r="H7">
        <v>2E+20</v>
      </c>
      <c r="I7">
        <v>0.326748116856237</v>
      </c>
      <c r="J7">
        <v>11.541269703702399</v>
      </c>
      <c r="K7">
        <v>17</v>
      </c>
      <c r="L7" t="str">
        <f>DiscreteStatsTable[[#This Row],[ProjectName]]&amp;DiscreteStatsTable[[#This Row],[Name]]&amp;DiscreteStatsTable[[#This Row],[Type]]&amp;DiscreteStatsTable[[#This Row],[Source]]</f>
        <v>Unnamed ProjectM1.QueueWaiting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4.2138631343027662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0.66752428884595916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0.82884087738659773</v>
      </c>
      <c r="R7" cm="1">
        <f t="array" ref="R7">MIN(IF((DiscreteStatsTable[GroupByKey]=DiscreteStatsTable[[#This Row],[GroupByKey]]),(DiscreteStatsTable[GroupByKey]=DiscreteStatsTable[[#This Row],[GroupByKey]])*DiscreteStatsTable[Average]))</f>
        <v>3.24427146737131</v>
      </c>
      <c r="S7" cm="1">
        <f t="array" ref="S7">MAX(IF((DiscreteStatsTable[GroupByKey]=DiscreteStatsTable[[#This Row],[GroupByKey]]),(DiscreteStatsTable[GroupByKey]=DiscreteStatsTable[[#This Row],[GroupByKey]])*DiscreteStatsTable[Average]))</f>
        <v>5.0039235559767201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16.214393402961399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21.8</v>
      </c>
      <c r="W7">
        <f>IF((DiscreteStatsTable[[#This Row],[RepsRequested]]&gt;1),DiscreteStatsTable[[#This Row],[HalfWidth]],DiscreteStatsTable[[#This Row],[BatchMeansHalfWidth]])</f>
        <v>0.82884087738659773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69</v>
      </c>
      <c r="C8">
        <v>2</v>
      </c>
      <c r="D8" t="s">
        <v>73</v>
      </c>
      <c r="E8" t="s">
        <v>71</v>
      </c>
      <c r="F8" t="s">
        <v>72</v>
      </c>
      <c r="G8">
        <v>4.4596805889000697</v>
      </c>
      <c r="H8">
        <v>2E+20</v>
      </c>
      <c r="I8">
        <v>0.87725796771129405</v>
      </c>
      <c r="J8">
        <v>16.214393402961399</v>
      </c>
      <c r="K8">
        <v>20</v>
      </c>
      <c r="L8" t="str">
        <f>DiscreteStatsTable[[#This Row],[ProjectName]]&amp;DiscreteStatsTable[[#This Row],[Name]]&amp;DiscreteStatsTable[[#This Row],[Type]]&amp;DiscreteStatsTable[[#This Row],[Source]]</f>
        <v>Unnamed ProjectM1.QueueWaiting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4.2138631343027662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0.66752428884595916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0.82884087738659773</v>
      </c>
      <c r="R8" cm="1">
        <f t="array" ref="R8">MIN(IF((DiscreteStatsTable[GroupByKey]=DiscreteStatsTable[[#This Row],[GroupByKey]]),(DiscreteStatsTable[GroupByKey]=DiscreteStatsTable[[#This Row],[GroupByKey]])*DiscreteStatsTable[Average]))</f>
        <v>3.24427146737131</v>
      </c>
      <c r="S8" cm="1">
        <f t="array" ref="S8">MAX(IF((DiscreteStatsTable[GroupByKey]=DiscreteStatsTable[[#This Row],[GroupByKey]]),(DiscreteStatsTable[GroupByKey]=DiscreteStatsTable[[#This Row],[GroupByKey]])*DiscreteStatsTable[Average]))</f>
        <v>5.0039235559767201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16.214393402961399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21.8</v>
      </c>
      <c r="W8">
        <f>IF((DiscreteStatsTable[[#This Row],[RepsRequested]]&gt;1),DiscreteStatsTable[[#This Row],[HalfWidth]],DiscreteStatsTable[[#This Row],[BatchMeansHalfWidth]])</f>
        <v>0.82884087738659773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69</v>
      </c>
      <c r="C9">
        <v>3</v>
      </c>
      <c r="D9" t="s">
        <v>73</v>
      </c>
      <c r="E9" t="s">
        <v>71</v>
      </c>
      <c r="F9" t="s">
        <v>72</v>
      </c>
      <c r="G9">
        <v>3.9019476470699002</v>
      </c>
      <c r="H9">
        <v>2E+20</v>
      </c>
      <c r="I9">
        <v>0.54937559651455803</v>
      </c>
      <c r="J9">
        <v>7.8899169734664802</v>
      </c>
      <c r="K9">
        <v>24</v>
      </c>
      <c r="L9" t="str">
        <f>DiscreteStatsTable[[#This Row],[ProjectName]]&amp;DiscreteStatsTable[[#This Row],[Name]]&amp;DiscreteStatsTable[[#This Row],[Type]]&amp;DiscreteStatsTable[[#This Row],[Source]]</f>
        <v>Unnamed ProjectM1.QueueWaiting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4.2138631343027662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0.66752428884595916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0.82884087738659773</v>
      </c>
      <c r="R9" cm="1">
        <f t="array" ref="R9">MIN(IF((DiscreteStatsTable[GroupByKey]=DiscreteStatsTable[[#This Row],[GroupByKey]]),(DiscreteStatsTable[GroupByKey]=DiscreteStatsTable[[#This Row],[GroupByKey]])*DiscreteStatsTable[Average]))</f>
        <v>3.24427146737131</v>
      </c>
      <c r="S9" cm="1">
        <f t="array" ref="S9">MAX(IF((DiscreteStatsTable[GroupByKey]=DiscreteStatsTable[[#This Row],[GroupByKey]]),(DiscreteStatsTable[GroupByKey]=DiscreteStatsTable[[#This Row],[GroupByKey]])*DiscreteStatsTable[Average]))</f>
        <v>5.0039235559767201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16.214393402961399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21.8</v>
      </c>
      <c r="W9">
        <f>IF((DiscreteStatsTable[[#This Row],[RepsRequested]]&gt;1),DiscreteStatsTable[[#This Row],[HalfWidth]],DiscreteStatsTable[[#This Row],[BatchMeansHalfWidth]])</f>
        <v>0.82884087738659773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69</v>
      </c>
      <c r="C10">
        <v>4</v>
      </c>
      <c r="D10" t="s">
        <v>73</v>
      </c>
      <c r="E10" t="s">
        <v>71</v>
      </c>
      <c r="F10" t="s">
        <v>72</v>
      </c>
      <c r="G10">
        <v>4.4594924121958304</v>
      </c>
      <c r="H10">
        <v>2E+20</v>
      </c>
      <c r="I10">
        <v>0.30852461319672397</v>
      </c>
      <c r="J10">
        <v>10.6904309736318</v>
      </c>
      <c r="K10">
        <v>22</v>
      </c>
      <c r="L10" t="str">
        <f>DiscreteStatsTable[[#This Row],[ProjectName]]&amp;DiscreteStatsTable[[#This Row],[Name]]&amp;DiscreteStatsTable[[#This Row],[Type]]&amp;DiscreteStatsTable[[#This Row],[Source]]</f>
        <v>Unnamed ProjectM1.QueueWaiting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4.2138631343027662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0.66752428884595916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0.82884087738659773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3.24427146737131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5.0039235559767201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16.214393402961399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21.8</v>
      </c>
      <c r="W10">
        <f>IF((DiscreteStatsTable[[#This Row],[RepsRequested]]&gt;1),DiscreteStatsTable[[#This Row],[HalfWidth]],DiscreteStatsTable[[#This Row],[BatchMeansHalfWidth]])</f>
        <v>0.82884087738659773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69</v>
      </c>
      <c r="C11">
        <v>5</v>
      </c>
      <c r="D11" t="s">
        <v>73</v>
      </c>
      <c r="E11" t="s">
        <v>71</v>
      </c>
      <c r="F11" t="s">
        <v>72</v>
      </c>
      <c r="G11">
        <v>3.24427146737131</v>
      </c>
      <c r="H11">
        <v>2E+20</v>
      </c>
      <c r="I11">
        <v>0</v>
      </c>
      <c r="J11">
        <v>10.131257007783599</v>
      </c>
      <c r="K11">
        <v>26</v>
      </c>
      <c r="L11" t="str">
        <f>DiscreteStatsTable[[#This Row],[ProjectName]]&amp;DiscreteStatsTable[[#This Row],[Name]]&amp;DiscreteStatsTable[[#This Row],[Type]]&amp;DiscreteStatsTable[[#This Row],[Source]]</f>
        <v>Unnamed ProjectM1.QueueWaiting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4.2138631343027662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0.66752428884595916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0.82884087738659773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3.24427146737131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5.0039235559767201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16.214393402961399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21.8</v>
      </c>
      <c r="W11">
        <f>IF((DiscreteStatsTable[[#This Row],[RepsRequested]]&gt;1),DiscreteStatsTable[[#This Row],[HalfWidth]],DiscreteStatsTable[[#This Row],[BatchMeansHalfWidth]])</f>
        <v>0.82884087738659773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69</v>
      </c>
      <c r="C12">
        <v>1</v>
      </c>
      <c r="D12" t="s">
        <v>74</v>
      </c>
      <c r="E12" t="s">
        <v>71</v>
      </c>
      <c r="F12" t="s">
        <v>72</v>
      </c>
      <c r="G12">
        <v>5.0570387283651801</v>
      </c>
      <c r="H12">
        <v>2E+20</v>
      </c>
      <c r="I12">
        <v>0.86976123227565005</v>
      </c>
      <c r="J12">
        <v>15.478775863204801</v>
      </c>
      <c r="K12">
        <v>18</v>
      </c>
      <c r="L12" t="str">
        <f>DiscreteStatsTable[[#This Row],[ProjectName]]&amp;DiscreteStatsTable[[#This Row],[Name]]&amp;DiscreteStatsTable[[#This Row],[Type]]&amp;DiscreteStatsTable[[#This Row],[Source]]</f>
        <v>Unnamed ProjectM2.QueueWaiting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4.2780885638947659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0.55735107777425386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0.69204276763235695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3.67832233990806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5.0570387283651801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0.457055676970683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16.5744973518363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20.8</v>
      </c>
      <c r="W12">
        <f>IF((DiscreteStatsTable[[#This Row],[RepsRequested]]&gt;1),DiscreteStatsTable[[#This Row],[HalfWidth]],DiscreteStatsTable[[#This Row],[BatchMeansHalfWidth]])</f>
        <v>0.69204276763235695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69</v>
      </c>
      <c r="C13">
        <v>2</v>
      </c>
      <c r="D13" t="s">
        <v>74</v>
      </c>
      <c r="E13" t="s">
        <v>71</v>
      </c>
      <c r="F13" t="s">
        <v>72</v>
      </c>
      <c r="G13">
        <v>4.5808860073125803</v>
      </c>
      <c r="H13">
        <v>2E+20</v>
      </c>
      <c r="I13">
        <v>0.89622891007609695</v>
      </c>
      <c r="J13">
        <v>16.5744973518363</v>
      </c>
      <c r="K13">
        <v>18</v>
      </c>
      <c r="L13" t="str">
        <f>DiscreteStatsTable[[#This Row],[ProjectName]]&amp;DiscreteStatsTable[[#This Row],[Name]]&amp;DiscreteStatsTable[[#This Row],[Type]]&amp;DiscreteStatsTable[[#This Row],[Source]]</f>
        <v>Unnamed ProjectM2.QueueWaiting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4.2780885638947659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0.55735107777425386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0.69204276763235695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3.67832233990806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5.0570387283651801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0.457055676970683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16.5744973518363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20.8</v>
      </c>
      <c r="W13">
        <f>IF((DiscreteStatsTable[[#This Row],[RepsRequested]]&gt;1),DiscreteStatsTable[[#This Row],[HalfWidth]],DiscreteStatsTable[[#This Row],[BatchMeansHalfWidth]])</f>
        <v>0.69204276763235695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69</v>
      </c>
      <c r="C14">
        <v>3</v>
      </c>
      <c r="D14" t="s">
        <v>74</v>
      </c>
      <c r="E14" t="s">
        <v>71</v>
      </c>
      <c r="F14" t="s">
        <v>72</v>
      </c>
      <c r="G14">
        <v>3.85238364067507</v>
      </c>
      <c r="H14">
        <v>2E+20</v>
      </c>
      <c r="I14">
        <v>0.457055676970683</v>
      </c>
      <c r="J14">
        <v>9.2839453381284205</v>
      </c>
      <c r="K14">
        <v>24</v>
      </c>
      <c r="L14" t="str">
        <f>DiscreteStatsTable[[#This Row],[ProjectName]]&amp;DiscreteStatsTable[[#This Row],[Name]]&amp;DiscreteStatsTable[[#This Row],[Type]]&amp;DiscreteStatsTable[[#This Row],[Source]]</f>
        <v>Unnamed ProjectM2.QueueWaiting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4.2780885638947659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0.55735107777425386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0.69204276763235695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3.67832233990806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5.0570387283651801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0.457055676970683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16.5744973518363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20.8</v>
      </c>
      <c r="W14">
        <f>IF((DiscreteStatsTable[[#This Row],[RepsRequested]]&gt;1),DiscreteStatsTable[[#This Row],[HalfWidth]],DiscreteStatsTable[[#This Row],[BatchMeansHalfWidth]])</f>
        <v>0.69204276763235695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69</v>
      </c>
      <c r="C15">
        <v>4</v>
      </c>
      <c r="D15" t="s">
        <v>74</v>
      </c>
      <c r="E15" t="s">
        <v>71</v>
      </c>
      <c r="F15" t="s">
        <v>72</v>
      </c>
      <c r="G15">
        <v>4.2218121032129403</v>
      </c>
      <c r="H15">
        <v>2E+20</v>
      </c>
      <c r="I15">
        <v>0.83230798802861705</v>
      </c>
      <c r="J15">
        <v>9.7300672080438204</v>
      </c>
      <c r="K15">
        <v>22</v>
      </c>
      <c r="L15" t="str">
        <f>DiscreteStatsTable[[#This Row],[ProjectName]]&amp;DiscreteStatsTable[[#This Row],[Name]]&amp;DiscreteStatsTable[[#This Row],[Type]]&amp;DiscreteStatsTable[[#This Row],[Source]]</f>
        <v>Unnamed ProjectM2.QueueWaiting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4.2780885638947659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0.55735107777425386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0.69204276763235695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3.67832233990806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5.0570387283651801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0.457055676970683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16.5744973518363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20.8</v>
      </c>
      <c r="W15">
        <f>IF((DiscreteStatsTable[[#This Row],[RepsRequested]]&gt;1),DiscreteStatsTable[[#This Row],[HalfWidth]],DiscreteStatsTable[[#This Row],[BatchMeansHalfWidth]])</f>
        <v>0.69204276763235695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69</v>
      </c>
      <c r="C16">
        <v>5</v>
      </c>
      <c r="D16" t="s">
        <v>74</v>
      </c>
      <c r="E16" t="s">
        <v>71</v>
      </c>
      <c r="F16" t="s">
        <v>72</v>
      </c>
      <c r="G16">
        <v>3.67832233990806</v>
      </c>
      <c r="H16">
        <v>2E+20</v>
      </c>
      <c r="I16">
        <v>1.24429744443297</v>
      </c>
      <c r="J16">
        <v>11.346160173695999</v>
      </c>
      <c r="K16">
        <v>22</v>
      </c>
      <c r="L16" t="str">
        <f>DiscreteStatsTable[[#This Row],[ProjectName]]&amp;DiscreteStatsTable[[#This Row],[Name]]&amp;DiscreteStatsTable[[#This Row],[Type]]&amp;DiscreteStatsTable[[#This Row],[Source]]</f>
        <v>Unnamed ProjectM2.QueueWaiting TimeQueue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4.2780885638947659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0.55735107777425386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0.69204276763235695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3.67832233990806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5.0570387283651801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0.457055676970683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16.5744973518363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20.8</v>
      </c>
      <c r="W16">
        <f>IF((DiscreteStatsTable[[#This Row],[RepsRequested]]&gt;1),DiscreteStatsTable[[#This Row],[HalfWidth]],DiscreteStatsTable[[#This Row],[BatchMeansHalfWidth]])</f>
        <v>0.69204276763235695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69</v>
      </c>
      <c r="C17">
        <v>1</v>
      </c>
      <c r="D17" t="s">
        <v>75</v>
      </c>
      <c r="E17" t="s">
        <v>76</v>
      </c>
      <c r="F17" t="s">
        <v>77</v>
      </c>
      <c r="G17">
        <v>0</v>
      </c>
      <c r="H17">
        <v>2E+20</v>
      </c>
      <c r="I17">
        <v>0</v>
      </c>
      <c r="J17">
        <v>0</v>
      </c>
      <c r="K17">
        <v>35</v>
      </c>
      <c r="L17" t="str">
        <f>DiscreteStatsTable[[#This Row],[ProjectName]]&amp;DiscreteStatsTable[[#This Row],[Name]]&amp;DiscreteStatsTable[[#This Row],[Type]]&amp;DiscreteStatsTable[[#This Row],[Source]]</f>
        <v>Unnamed ProjectPartNVA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42.4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69</v>
      </c>
      <c r="C18">
        <v>1</v>
      </c>
      <c r="D18" t="s">
        <v>75</v>
      </c>
      <c r="E18" t="s">
        <v>78</v>
      </c>
      <c r="F18" t="s">
        <v>77</v>
      </c>
      <c r="G18">
        <v>0</v>
      </c>
      <c r="H18">
        <v>2E+20</v>
      </c>
      <c r="I18">
        <v>0</v>
      </c>
      <c r="J18">
        <v>0</v>
      </c>
      <c r="K18">
        <v>35</v>
      </c>
      <c r="L18" t="str">
        <f>DiscreteStatsTable[[#This Row],[ProjectName]]&amp;DiscreteStatsTable[[#This Row],[Name]]&amp;DiscreteStatsTable[[#This Row],[Type]]&amp;DiscreteStatsTable[[#This Row],[Source]]</f>
        <v>Unnamed ProjectPartOther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42.4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69</v>
      </c>
      <c r="C19">
        <v>1</v>
      </c>
      <c r="D19" t="s">
        <v>75</v>
      </c>
      <c r="E19" t="s">
        <v>79</v>
      </c>
      <c r="F19" t="s">
        <v>77</v>
      </c>
      <c r="G19">
        <v>23.931360316386499</v>
      </c>
      <c r="H19">
        <v>2E+20</v>
      </c>
      <c r="I19">
        <v>7.0115362100991803</v>
      </c>
      <c r="J19">
        <v>37.615290582270397</v>
      </c>
      <c r="K19">
        <v>35</v>
      </c>
      <c r="L19" t="str">
        <f>DiscreteStatsTable[[#This Row],[ProjectName]]&amp;DiscreteStatsTable[[#This Row],[Name]]&amp;DiscreteStatsTable[[#This Row],[Type]]&amp;DiscreteStatsTable[[#This Row],[Source]]</f>
        <v>Unnamed ProjectPartTotal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21.45310600011474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3.0215290010112872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3.7517237800842991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16.884806770489899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23.944518833858901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0.44164150823048898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44.004094279671698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42.4</v>
      </c>
      <c r="W19">
        <f>IF((DiscreteStatsTable[[#This Row],[RepsRequested]]&gt;1),DiscreteStatsTable[[#This Row],[HalfWidth]],DiscreteStatsTable[[#This Row],[BatchMeansHalfWidth]])</f>
        <v>3.7517237800842991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69</v>
      </c>
      <c r="C20">
        <v>1</v>
      </c>
      <c r="D20" t="s">
        <v>75</v>
      </c>
      <c r="E20" t="s">
        <v>80</v>
      </c>
      <c r="F20" t="s">
        <v>77</v>
      </c>
      <c r="G20">
        <v>0</v>
      </c>
      <c r="H20">
        <v>2E+20</v>
      </c>
      <c r="I20">
        <v>0</v>
      </c>
      <c r="J20">
        <v>0</v>
      </c>
      <c r="K20">
        <v>35</v>
      </c>
      <c r="L20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42.4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69</v>
      </c>
      <c r="C21">
        <v>1</v>
      </c>
      <c r="D21" t="s">
        <v>75</v>
      </c>
      <c r="E21" t="s">
        <v>81</v>
      </c>
      <c r="F21" t="s">
        <v>77</v>
      </c>
      <c r="G21">
        <v>2.5837784480297801</v>
      </c>
      <c r="H21">
        <v>2E+20</v>
      </c>
      <c r="I21">
        <v>6.98393973330269E-3</v>
      </c>
      <c r="J21">
        <v>9.1572119020615492</v>
      </c>
      <c r="K21">
        <v>35</v>
      </c>
      <c r="L21" t="str">
        <f>DiscreteStatsTable[[#This Row],[ProjectName]]&amp;DiscreteStatsTable[[#This Row],[Name]]&amp;DiscreteStatsTable[[#This Row],[Type]]&amp;DiscreteStatsTable[[#This Row],[Source]]</f>
        <v>Unnamed ProjectPartVA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2.2099146904028522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0.30531058014202289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0.37909315563305479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1.8526222125352301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2.5837784480297801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7.3731313490199601E-4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16.165131141916099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42.4</v>
      </c>
      <c r="W21">
        <f>IF((DiscreteStatsTable[[#This Row],[RepsRequested]]&gt;1),DiscreteStatsTable[[#This Row],[HalfWidth]],DiscreteStatsTable[[#This Row],[BatchMeansHalfWidth]])</f>
        <v>0.37909315563305479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69</v>
      </c>
      <c r="C22">
        <v>1</v>
      </c>
      <c r="D22" t="s">
        <v>75</v>
      </c>
      <c r="E22" t="s">
        <v>82</v>
      </c>
      <c r="F22" t="s">
        <v>77</v>
      </c>
      <c r="G22">
        <v>21.347581868356801</v>
      </c>
      <c r="H22">
        <v>2E+20</v>
      </c>
      <c r="I22">
        <v>0.80609935171837699</v>
      </c>
      <c r="J22">
        <v>33.442715983073803</v>
      </c>
      <c r="K22">
        <v>35</v>
      </c>
      <c r="L22" t="str">
        <f>DiscreteStatsTable[[#This Row],[ProjectName]]&amp;DiscreteStatsTable[[#This Row],[Name]]&amp;DiscreteStatsTable[[#This Row],[Type]]&amp;DiscreteStatsTable[[#This Row],[Source]]</f>
        <v>Unnamed ProjectPartWait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19.243191309711921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2.9196498971241902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3.6252241646184302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14.6208053359345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21.546321300500001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41.858220772647499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42.4</v>
      </c>
      <c r="W22">
        <f>IF((DiscreteStatsTable[[#This Row],[RepsRequested]]&gt;1),DiscreteStatsTable[[#This Row],[HalfWidth]],DiscreteStatsTable[[#This Row],[BatchMeansHalfWidth]])</f>
        <v>3.6252241646184302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69</v>
      </c>
      <c r="C23">
        <v>2</v>
      </c>
      <c r="D23" t="s">
        <v>75</v>
      </c>
      <c r="E23" t="s">
        <v>76</v>
      </c>
      <c r="F23" t="s">
        <v>77</v>
      </c>
      <c r="G23">
        <v>0</v>
      </c>
      <c r="H23">
        <v>2E+20</v>
      </c>
      <c r="I23">
        <v>0</v>
      </c>
      <c r="J23">
        <v>0</v>
      </c>
      <c r="K23">
        <v>38</v>
      </c>
      <c r="L23" t="str">
        <f>DiscreteStatsTable[[#This Row],[ProjectName]]&amp;DiscreteStatsTable[[#This Row],[Name]]&amp;DiscreteStatsTable[[#This Row],[Type]]&amp;DiscreteStatsTable[[#This Row],[Source]]</f>
        <v>Unnamed ProjectPartNVA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42.4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69</v>
      </c>
      <c r="C24">
        <v>2</v>
      </c>
      <c r="D24" t="s">
        <v>75</v>
      </c>
      <c r="E24" t="s">
        <v>78</v>
      </c>
      <c r="F24" t="s">
        <v>77</v>
      </c>
      <c r="G24">
        <v>0</v>
      </c>
      <c r="H24">
        <v>2E+20</v>
      </c>
      <c r="I24">
        <v>0</v>
      </c>
      <c r="J24">
        <v>0</v>
      </c>
      <c r="K24">
        <v>38</v>
      </c>
      <c r="L24" t="str">
        <f>DiscreteStatsTable[[#This Row],[ProjectName]]&amp;DiscreteStatsTable[[#This Row],[Name]]&amp;DiscreteStatsTable[[#This Row],[Type]]&amp;DiscreteStatsTable[[#This Row],[Source]]</f>
        <v>Unnamed ProjectPartOther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42.4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69</v>
      </c>
      <c r="C25">
        <v>2</v>
      </c>
      <c r="D25" t="s">
        <v>75</v>
      </c>
      <c r="E25" t="s">
        <v>79</v>
      </c>
      <c r="F25" t="s">
        <v>77</v>
      </c>
      <c r="G25">
        <v>23.944518833858901</v>
      </c>
      <c r="H25">
        <v>2E+20</v>
      </c>
      <c r="I25">
        <v>2.07539807483779</v>
      </c>
      <c r="J25">
        <v>44.004094279671698</v>
      </c>
      <c r="K25">
        <v>38</v>
      </c>
      <c r="L25" t="str">
        <f>DiscreteStatsTable[[#This Row],[ProjectName]]&amp;DiscreteStatsTable[[#This Row],[Name]]&amp;DiscreteStatsTable[[#This Row],[Type]]&amp;DiscreteStatsTable[[#This Row],[Source]]</f>
        <v>Unnamed ProjectPartTotal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21.45310600011474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3.0215290010112872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3.7517237800842991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16.884806770489899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23.944518833858901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0.44164150823048898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44.004094279671698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42.4</v>
      </c>
      <c r="W25">
        <f>IF((DiscreteStatsTable[[#This Row],[RepsRequested]]&gt;1),DiscreteStatsTable[[#This Row],[HalfWidth]],DiscreteStatsTable[[#This Row],[BatchMeansHalfWidth]])</f>
        <v>3.7517237800842991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69</v>
      </c>
      <c r="C26">
        <v>2</v>
      </c>
      <c r="D26" t="s">
        <v>75</v>
      </c>
      <c r="E26" t="s">
        <v>80</v>
      </c>
      <c r="F26" t="s">
        <v>77</v>
      </c>
      <c r="G26">
        <v>0</v>
      </c>
      <c r="H26">
        <v>2E+20</v>
      </c>
      <c r="I26">
        <v>0</v>
      </c>
      <c r="J26">
        <v>0</v>
      </c>
      <c r="K26">
        <v>38</v>
      </c>
      <c r="L26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42.4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69</v>
      </c>
      <c r="C27">
        <v>2</v>
      </c>
      <c r="D27" t="s">
        <v>75</v>
      </c>
      <c r="E27" t="s">
        <v>81</v>
      </c>
      <c r="F27" t="s">
        <v>77</v>
      </c>
      <c r="G27">
        <v>2.3981975333588701</v>
      </c>
      <c r="H27">
        <v>2E+20</v>
      </c>
      <c r="I27">
        <v>4.9262261045328201E-2</v>
      </c>
      <c r="J27">
        <v>16.165131141916099</v>
      </c>
      <c r="K27">
        <v>38</v>
      </c>
      <c r="L27" t="str">
        <f>DiscreteStatsTable[[#This Row],[ProjectName]]&amp;DiscreteStatsTable[[#This Row],[Name]]&amp;DiscreteStatsTable[[#This Row],[Type]]&amp;DiscreteStatsTable[[#This Row],[Source]]</f>
        <v>Unnamed ProjectPartVA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2.2099146904028522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0.30531058014202289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0.37909315563305479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1.8526222125352301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2.5837784480297801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7.3731313490199601E-4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16.165131141916099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42.4</v>
      </c>
      <c r="W27">
        <f>IF((DiscreteStatsTable[[#This Row],[RepsRequested]]&gt;1),DiscreteStatsTable[[#This Row],[HalfWidth]],DiscreteStatsTable[[#This Row],[BatchMeansHalfWidth]])</f>
        <v>0.37909315563305479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69</v>
      </c>
      <c r="C28">
        <v>2</v>
      </c>
      <c r="D28" t="s">
        <v>75</v>
      </c>
      <c r="E28" t="s">
        <v>82</v>
      </c>
      <c r="F28" t="s">
        <v>77</v>
      </c>
      <c r="G28">
        <v>21.546321300500001</v>
      </c>
      <c r="H28">
        <v>2E+20</v>
      </c>
      <c r="I28">
        <v>0</v>
      </c>
      <c r="J28">
        <v>41.858220772647499</v>
      </c>
      <c r="K28">
        <v>38</v>
      </c>
      <c r="L28" t="str">
        <f>DiscreteStatsTable[[#This Row],[ProjectName]]&amp;DiscreteStatsTable[[#This Row],[Name]]&amp;DiscreteStatsTable[[#This Row],[Type]]&amp;DiscreteStatsTable[[#This Row],[Source]]</f>
        <v>Unnamed ProjectPartWait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19.243191309711921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2.9196498971241902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3.6252241646184302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14.6208053359345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21.546321300500001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41.858220772647499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42.4</v>
      </c>
      <c r="W28">
        <f>IF((DiscreteStatsTable[[#This Row],[RepsRequested]]&gt;1),DiscreteStatsTable[[#This Row],[HalfWidth]],DiscreteStatsTable[[#This Row],[BatchMeansHalfWidth]])</f>
        <v>3.6252241646184302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69</v>
      </c>
      <c r="C29">
        <v>3</v>
      </c>
      <c r="D29" t="s">
        <v>75</v>
      </c>
      <c r="E29" t="s">
        <v>76</v>
      </c>
      <c r="F29" t="s">
        <v>77</v>
      </c>
      <c r="G29">
        <v>0</v>
      </c>
      <c r="H29">
        <v>2E+20</v>
      </c>
      <c r="I29">
        <v>0</v>
      </c>
      <c r="J29">
        <v>0</v>
      </c>
      <c r="K29">
        <v>48</v>
      </c>
      <c r="L29" t="str">
        <f>DiscreteStatsTable[[#This Row],[ProjectName]]&amp;DiscreteStatsTable[[#This Row],[Name]]&amp;DiscreteStatsTable[[#This Row],[Type]]&amp;DiscreteStatsTable[[#This Row],[Source]]</f>
        <v>Unnamed ProjectPartNVA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42.4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69</v>
      </c>
      <c r="C30">
        <v>3</v>
      </c>
      <c r="D30" t="s">
        <v>75</v>
      </c>
      <c r="E30" t="s">
        <v>78</v>
      </c>
      <c r="F30" t="s">
        <v>77</v>
      </c>
      <c r="G30">
        <v>0</v>
      </c>
      <c r="H30">
        <v>2E+20</v>
      </c>
      <c r="I30">
        <v>0</v>
      </c>
      <c r="J30">
        <v>0</v>
      </c>
      <c r="K30">
        <v>48</v>
      </c>
      <c r="L30" t="str">
        <f>DiscreteStatsTable[[#This Row],[ProjectName]]&amp;DiscreteStatsTable[[#This Row],[Name]]&amp;DiscreteStatsTable[[#This Row],[Type]]&amp;DiscreteStatsTable[[#This Row],[Source]]</f>
        <v>Unnamed ProjectPartOther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42.4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69</v>
      </c>
      <c r="C31">
        <v>3</v>
      </c>
      <c r="D31" t="s">
        <v>75</v>
      </c>
      <c r="E31" t="s">
        <v>79</v>
      </c>
      <c r="F31" t="s">
        <v>77</v>
      </c>
      <c r="G31">
        <v>22.521232840707501</v>
      </c>
      <c r="H31">
        <v>2E+20</v>
      </c>
      <c r="I31">
        <v>9.5127333404721792</v>
      </c>
      <c r="J31">
        <v>33.693948222502598</v>
      </c>
      <c r="K31">
        <v>48</v>
      </c>
      <c r="L31" t="str">
        <f>DiscreteStatsTable[[#This Row],[ProjectName]]&amp;DiscreteStatsTable[[#This Row],[Name]]&amp;DiscreteStatsTable[[#This Row],[Type]]&amp;DiscreteStatsTable[[#This Row],[Source]]</f>
        <v>Unnamed ProjectPartTotal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21.45310600011474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3.0215290010112872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3.7517237800842991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16.884806770489899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23.944518833858901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0.44164150823048898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44.004094279671698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42.4</v>
      </c>
      <c r="W31">
        <f>IF((DiscreteStatsTable[[#This Row],[RepsRequested]]&gt;1),DiscreteStatsTable[[#This Row],[HalfWidth]],DiscreteStatsTable[[#This Row],[BatchMeansHalfWidth]])</f>
        <v>3.7517237800842991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69</v>
      </c>
      <c r="C32">
        <v>3</v>
      </c>
      <c r="D32" t="s">
        <v>75</v>
      </c>
      <c r="E32" t="s">
        <v>80</v>
      </c>
      <c r="F32" t="s">
        <v>77</v>
      </c>
      <c r="G32">
        <v>0</v>
      </c>
      <c r="H32">
        <v>2E+20</v>
      </c>
      <c r="I32">
        <v>0</v>
      </c>
      <c r="J32">
        <v>0</v>
      </c>
      <c r="K32">
        <v>48</v>
      </c>
      <c r="L32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42.4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69</v>
      </c>
      <c r="C33">
        <v>3</v>
      </c>
      <c r="D33" t="s">
        <v>75</v>
      </c>
      <c r="E33" t="s">
        <v>81</v>
      </c>
      <c r="F33" t="s">
        <v>77</v>
      </c>
      <c r="G33">
        <v>1.9509738235349501</v>
      </c>
      <c r="H33">
        <v>2E+20</v>
      </c>
      <c r="I33">
        <v>2.3616866417814499E-2</v>
      </c>
      <c r="J33">
        <v>7.1528222881003698</v>
      </c>
      <c r="K33">
        <v>48</v>
      </c>
      <c r="L33" t="str">
        <f>DiscreteStatsTable[[#This Row],[ProjectName]]&amp;DiscreteStatsTable[[#This Row],[Name]]&amp;DiscreteStatsTable[[#This Row],[Type]]&amp;DiscreteStatsTable[[#This Row],[Source]]</f>
        <v>Unnamed ProjectPartVA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2.2099146904028522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0.30531058014202289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0.37909315563305479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1.8526222125352301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2.5837784480297801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7.3731313490199601E-4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16.165131141916099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42.4</v>
      </c>
      <c r="W33">
        <f>IF((DiscreteStatsTable[[#This Row],[RepsRequested]]&gt;1),DiscreteStatsTable[[#This Row],[HalfWidth]],DiscreteStatsTable[[#This Row],[BatchMeansHalfWidth]])</f>
        <v>0.37909315563305479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69</v>
      </c>
      <c r="C34">
        <v>3</v>
      </c>
      <c r="D34" t="s">
        <v>75</v>
      </c>
      <c r="E34" t="s">
        <v>82</v>
      </c>
      <c r="F34" t="s">
        <v>77</v>
      </c>
      <c r="G34">
        <v>20.570259017172599</v>
      </c>
      <c r="H34">
        <v>2E+20</v>
      </c>
      <c r="I34">
        <v>2.84542703717351</v>
      </c>
      <c r="J34">
        <v>32.280161110225897</v>
      </c>
      <c r="K34">
        <v>48</v>
      </c>
      <c r="L34" t="str">
        <f>DiscreteStatsTable[[#This Row],[ProjectName]]&amp;DiscreteStatsTable[[#This Row],[Name]]&amp;DiscreteStatsTable[[#This Row],[Type]]&amp;DiscreteStatsTable[[#This Row],[Source]]</f>
        <v>Unnamed ProjectPartWait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19.243191309711921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2.9196498971241902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3.6252241646184302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14.6208053359345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21.546321300500001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41.858220772647499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42.4</v>
      </c>
      <c r="W34">
        <f>IF((DiscreteStatsTable[[#This Row],[RepsRequested]]&gt;1),DiscreteStatsTable[[#This Row],[HalfWidth]],DiscreteStatsTable[[#This Row],[BatchMeansHalfWidth]])</f>
        <v>3.6252241646184302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69</v>
      </c>
      <c r="C35">
        <v>4</v>
      </c>
      <c r="D35" t="s">
        <v>75</v>
      </c>
      <c r="E35" t="s">
        <v>76</v>
      </c>
      <c r="F35" t="s">
        <v>77</v>
      </c>
      <c r="G35">
        <v>0</v>
      </c>
      <c r="H35">
        <v>2E+20</v>
      </c>
      <c r="I35">
        <v>0</v>
      </c>
      <c r="J35">
        <v>0</v>
      </c>
      <c r="K35">
        <v>44</v>
      </c>
      <c r="L35" t="str">
        <f>DiscreteStatsTable[[#This Row],[ProjectName]]&amp;DiscreteStatsTable[[#This Row],[Name]]&amp;DiscreteStatsTable[[#This Row],[Type]]&amp;DiscreteStatsTable[[#This Row],[Source]]</f>
        <v>Unnamed ProjectPartNVA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42.4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69</v>
      </c>
      <c r="C36">
        <v>4</v>
      </c>
      <c r="D36" t="s">
        <v>75</v>
      </c>
      <c r="E36" t="s">
        <v>78</v>
      </c>
      <c r="F36" t="s">
        <v>77</v>
      </c>
      <c r="G36">
        <v>0</v>
      </c>
      <c r="H36">
        <v>2E+20</v>
      </c>
      <c r="I36">
        <v>0</v>
      </c>
      <c r="J36">
        <v>0</v>
      </c>
      <c r="K36">
        <v>44</v>
      </c>
      <c r="L36" t="str">
        <f>DiscreteStatsTable[[#This Row],[ProjectName]]&amp;DiscreteStatsTable[[#This Row],[Name]]&amp;DiscreteStatsTable[[#This Row],[Type]]&amp;DiscreteStatsTable[[#This Row],[Source]]</f>
        <v>Unnamed ProjectPartOther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42.4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69</v>
      </c>
      <c r="C37">
        <v>4</v>
      </c>
      <c r="D37" t="s">
        <v>75</v>
      </c>
      <c r="E37" t="s">
        <v>79</v>
      </c>
      <c r="F37" t="s">
        <v>77</v>
      </c>
      <c r="G37">
        <v>16.884806770489899</v>
      </c>
      <c r="H37">
        <v>2E+20</v>
      </c>
      <c r="I37">
        <v>5.9986929636291499</v>
      </c>
      <c r="J37">
        <v>32.415229516518302</v>
      </c>
      <c r="K37">
        <v>44</v>
      </c>
      <c r="L37" t="str">
        <f>DiscreteStatsTable[[#This Row],[ProjectName]]&amp;DiscreteStatsTable[[#This Row],[Name]]&amp;DiscreteStatsTable[[#This Row],[Type]]&amp;DiscreteStatsTable[[#This Row],[Source]]</f>
        <v>Unnamed ProjectPartTotal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5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21.45310600011474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3.0215290010112872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3.7517237800842991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16.884806770489899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23.944518833858901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0.44164150823048898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44.004094279671698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42.4</v>
      </c>
      <c r="W37">
        <f>IF((DiscreteStatsTable[[#This Row],[RepsRequested]]&gt;1),DiscreteStatsTable[[#This Row],[HalfWidth]],DiscreteStatsTable[[#This Row],[BatchMeansHalfWidth]])</f>
        <v>3.7517237800842991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5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69</v>
      </c>
      <c r="C38">
        <v>4</v>
      </c>
      <c r="D38" t="s">
        <v>75</v>
      </c>
      <c r="E38" t="s">
        <v>80</v>
      </c>
      <c r="F38" t="s">
        <v>77</v>
      </c>
      <c r="G38">
        <v>0</v>
      </c>
      <c r="H38">
        <v>2E+20</v>
      </c>
      <c r="I38">
        <v>0</v>
      </c>
      <c r="J38">
        <v>0</v>
      </c>
      <c r="K38">
        <v>44</v>
      </c>
      <c r="L38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5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42.4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5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69</v>
      </c>
      <c r="C39">
        <v>4</v>
      </c>
      <c r="D39" t="s">
        <v>75</v>
      </c>
      <c r="E39" t="s">
        <v>81</v>
      </c>
      <c r="F39" t="s">
        <v>77</v>
      </c>
      <c r="G39">
        <v>2.2640014345554298</v>
      </c>
      <c r="H39">
        <v>2E+20</v>
      </c>
      <c r="I39">
        <v>7.3731313490199601E-4</v>
      </c>
      <c r="J39">
        <v>10.459126887274699</v>
      </c>
      <c r="K39">
        <v>44</v>
      </c>
      <c r="L39" t="str">
        <f>DiscreteStatsTable[[#This Row],[ProjectName]]&amp;DiscreteStatsTable[[#This Row],[Name]]&amp;DiscreteStatsTable[[#This Row],[Type]]&amp;DiscreteStatsTable[[#This Row],[Source]]</f>
        <v>Unnamed ProjectPartVA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5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2.2099146904028522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0.30531058014202289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0.37909315563305479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1.8526222125352301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2.5837784480297801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7.3731313490199601E-4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16.165131141916099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42.4</v>
      </c>
      <c r="W39">
        <f>IF((DiscreteStatsTable[[#This Row],[RepsRequested]]&gt;1),DiscreteStatsTable[[#This Row],[HalfWidth]],DiscreteStatsTable[[#This Row],[BatchMeansHalfWidth]])</f>
        <v>0.37909315563305479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5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69</v>
      </c>
      <c r="C40">
        <v>4</v>
      </c>
      <c r="D40" t="s">
        <v>75</v>
      </c>
      <c r="E40" t="s">
        <v>82</v>
      </c>
      <c r="F40" t="s">
        <v>77</v>
      </c>
      <c r="G40">
        <v>14.6208053359345</v>
      </c>
      <c r="H40">
        <v>2E+20</v>
      </c>
      <c r="I40">
        <v>0</v>
      </c>
      <c r="J40">
        <v>30.028103905611701</v>
      </c>
      <c r="K40">
        <v>44</v>
      </c>
      <c r="L40" t="str">
        <f>DiscreteStatsTable[[#This Row],[ProjectName]]&amp;DiscreteStatsTable[[#This Row],[Name]]&amp;DiscreteStatsTable[[#This Row],[Type]]&amp;DiscreteStatsTable[[#This Row],[Source]]</f>
        <v>Unnamed ProjectPartWait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5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19.243191309711921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2.9196498971241902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3.6252241646184302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14.6208053359345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21.546321300500001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41.858220772647499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42.4</v>
      </c>
      <c r="W40">
        <f>IF((DiscreteStatsTable[[#This Row],[RepsRequested]]&gt;1),DiscreteStatsTable[[#This Row],[HalfWidth]],DiscreteStatsTable[[#This Row],[BatchMeansHalfWidth]])</f>
        <v>3.6252241646184302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5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69</v>
      </c>
      <c r="C41">
        <v>5</v>
      </c>
      <c r="D41" t="s">
        <v>75</v>
      </c>
      <c r="E41" t="s">
        <v>76</v>
      </c>
      <c r="F41" t="s">
        <v>77</v>
      </c>
      <c r="G41">
        <v>0</v>
      </c>
      <c r="H41">
        <v>2E+20</v>
      </c>
      <c r="I41">
        <v>0</v>
      </c>
      <c r="J41">
        <v>0</v>
      </c>
      <c r="K41">
        <v>47</v>
      </c>
      <c r="L41" t="str">
        <f>DiscreteStatsTable[[#This Row],[ProjectName]]&amp;DiscreteStatsTable[[#This Row],[Name]]&amp;DiscreteStatsTable[[#This Row],[Type]]&amp;DiscreteStatsTable[[#This Row],[Source]]</f>
        <v>Unnamed ProjectPartNVA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5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42.4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5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69</v>
      </c>
      <c r="C42">
        <v>5</v>
      </c>
      <c r="D42" t="s">
        <v>75</v>
      </c>
      <c r="E42" t="s">
        <v>78</v>
      </c>
      <c r="F42" t="s">
        <v>77</v>
      </c>
      <c r="G42">
        <v>0</v>
      </c>
      <c r="H42">
        <v>2E+20</v>
      </c>
      <c r="I42">
        <v>0</v>
      </c>
      <c r="J42">
        <v>0</v>
      </c>
      <c r="K42">
        <v>47</v>
      </c>
      <c r="L42" t="str">
        <f>DiscreteStatsTable[[#This Row],[ProjectName]]&amp;DiscreteStatsTable[[#This Row],[Name]]&amp;DiscreteStatsTable[[#This Row],[Type]]&amp;DiscreteStatsTable[[#This Row],[Source]]</f>
        <v>Unnamed ProjectPartOther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5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0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42.4</v>
      </c>
      <c r="W42">
        <f>IF((DiscreteStatsTable[[#This Row],[RepsRequested]]&gt;1),DiscreteStatsTable[[#This Row],[HalfWidth]],DiscreteStatsTable[[#This Row],[BatchMeansHalfWidth]])</f>
        <v>0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5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69</v>
      </c>
      <c r="C43">
        <v>5</v>
      </c>
      <c r="D43" t="s">
        <v>75</v>
      </c>
      <c r="E43" t="s">
        <v>79</v>
      </c>
      <c r="F43" t="s">
        <v>77</v>
      </c>
      <c r="G43">
        <v>19.983611239130902</v>
      </c>
      <c r="H43">
        <v>2E+20</v>
      </c>
      <c r="I43">
        <v>0.44164150823048898</v>
      </c>
      <c r="J43">
        <v>32.365295750947098</v>
      </c>
      <c r="K43">
        <v>47</v>
      </c>
      <c r="L43" t="str">
        <f>DiscreteStatsTable[[#This Row],[ProjectName]]&amp;DiscreteStatsTable[[#This Row],[Name]]&amp;DiscreteStatsTable[[#This Row],[Type]]&amp;DiscreteStatsTable[[#This Row],[Source]]</f>
        <v>Unnamed ProjectPartTotal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5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21.45310600011474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3.0215290010112872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3.7517237800842991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16.884806770489899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23.944518833858901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0.44164150823048898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44.004094279671698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42.4</v>
      </c>
      <c r="W43">
        <f>IF((DiscreteStatsTable[[#This Row],[RepsRequested]]&gt;1),DiscreteStatsTable[[#This Row],[HalfWidth]],DiscreteStatsTable[[#This Row],[BatchMeansHalfWidth]])</f>
        <v>3.7517237800842991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5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69</v>
      </c>
      <c r="C44">
        <v>5</v>
      </c>
      <c r="D44" t="s">
        <v>75</v>
      </c>
      <c r="E44" t="s">
        <v>80</v>
      </c>
      <c r="F44" t="s">
        <v>77</v>
      </c>
      <c r="G44">
        <v>0</v>
      </c>
      <c r="H44">
        <v>2E+20</v>
      </c>
      <c r="I44">
        <v>0</v>
      </c>
      <c r="J44">
        <v>0</v>
      </c>
      <c r="K44">
        <v>47</v>
      </c>
      <c r="L44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5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42.4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5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69</v>
      </c>
      <c r="C45">
        <v>5</v>
      </c>
      <c r="D45" t="s">
        <v>75</v>
      </c>
      <c r="E45" t="s">
        <v>81</v>
      </c>
      <c r="F45" t="s">
        <v>77</v>
      </c>
      <c r="G45">
        <v>1.8526222125352301</v>
      </c>
      <c r="H45">
        <v>2E+20</v>
      </c>
      <c r="I45">
        <v>3.0825850447342901E-2</v>
      </c>
      <c r="J45">
        <v>8.7316162283145093</v>
      </c>
      <c r="K45">
        <v>47</v>
      </c>
      <c r="L45" t="str">
        <f>DiscreteStatsTable[[#This Row],[ProjectName]]&amp;DiscreteStatsTable[[#This Row],[Name]]&amp;DiscreteStatsTable[[#This Row],[Type]]&amp;DiscreteStatsTable[[#This Row],[Source]]</f>
        <v>Unnamed ProjectPartVA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5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2.2099146904028522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0.30531058014202289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0.37909315563305479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1.8526222125352301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2.5837784480297801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7.3731313490199601E-4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16.165131141916099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42.4</v>
      </c>
      <c r="W45">
        <f>IF((DiscreteStatsTable[[#This Row],[RepsRequested]]&gt;1),DiscreteStatsTable[[#This Row],[HalfWidth]],DiscreteStatsTable[[#This Row],[BatchMeansHalfWidth]])</f>
        <v>0.37909315563305479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5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69</v>
      </c>
      <c r="C46">
        <v>5</v>
      </c>
      <c r="D46" t="s">
        <v>75</v>
      </c>
      <c r="E46" t="s">
        <v>82</v>
      </c>
      <c r="F46" t="s">
        <v>77</v>
      </c>
      <c r="G46">
        <v>18.130989026595699</v>
      </c>
      <c r="H46">
        <v>2E+20</v>
      </c>
      <c r="I46">
        <v>0</v>
      </c>
      <c r="J46">
        <v>32.086974105819003</v>
      </c>
      <c r="K46">
        <v>47</v>
      </c>
      <c r="L46" t="str">
        <f>DiscreteStatsTable[[#This Row],[ProjectName]]&amp;DiscreteStatsTable[[#This Row],[Name]]&amp;DiscreteStatsTable[[#This Row],[Type]]&amp;DiscreteStatsTable[[#This Row],[Source]]</f>
        <v>Unnamed ProjectPartWait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5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19.243191309711921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2.9196498971241902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3.6252241646184302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14.6208053359345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21.546321300500001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41.858220772647499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42.4</v>
      </c>
      <c r="W46">
        <f>IF((DiscreteStatsTable[[#This Row],[RepsRequested]]&gt;1),DiscreteStatsTable[[#This Row],[HalfWidth]],DiscreteStatsTable[[#This Row],[BatchMeansHalfWidth]])</f>
        <v>3.6252241646184302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5</v>
      </c>
      <c r="Y46">
        <f>IF(DiscreteStatsTable[[#This Row],[RepsRequested]]=DiscreteStatsTable[[#This Row],[RepsWithStatObserved]],1,0)</f>
        <v>1</v>
      </c>
    </row>
    <row r="47" spans="1:25" x14ac:dyDescent="0.3"/>
    <row r="48" spans="1:25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</sheetData>
  <phoneticPr fontId="2" type="noConversion"/>
  <conditionalFormatting sqref="H2:H46 Q2:Q46">
    <cfRule type="expression" dxfId="20" priority="23">
      <formula>H2=200000000000000000000</formula>
    </cfRule>
  </conditionalFormatting>
  <conditionalFormatting sqref="H2:H46">
    <cfRule type="expression" dxfId="19" priority="21">
      <formula>H2=300000000000000000000</formula>
    </cfRule>
  </conditionalFormatting>
  <conditionalFormatting sqref="L2:Y46">
    <cfRule type="expression" dxfId="18" priority="19">
      <formula>MOD(ROW(),2)=0</formula>
    </cfRule>
  </conditionalFormatting>
  <conditionalFormatting sqref="Y2:Y46">
    <cfRule type="expression" dxfId="17" priority="14">
      <formula>Y2=0</formula>
    </cfRule>
    <cfRule type="expression" dxfId="16" priority="16">
      <formula>Y2=1</formula>
    </cfRule>
  </conditionalFormatting>
  <conditionalFormatting sqref="Y3:Y46">
    <cfRule type="expression" dxfId="15" priority="15">
      <formula>Y3=1</formula>
    </cfRule>
  </conditionalFormatting>
  <conditionalFormatting sqref="W2:W46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46 W2:W46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36"/>
  <sheetViews>
    <sheetView workbookViewId="0">
      <selection activeCell="A2" sqref="A2:L1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2.332031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0.7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69</v>
      </c>
      <c r="C2">
        <v>1</v>
      </c>
      <c r="D2" t="s">
        <v>70</v>
      </c>
      <c r="E2" t="s">
        <v>83</v>
      </c>
      <c r="F2" t="s">
        <v>72</v>
      </c>
      <c r="G2">
        <v>10.3302063395373</v>
      </c>
      <c r="H2">
        <v>2E+20</v>
      </c>
      <c r="I2">
        <v>0</v>
      </c>
      <c r="J2">
        <v>18</v>
      </c>
      <c r="K2">
        <v>15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ProjectHold 1.QueueNumber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11.71564870437078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2.5434398035036327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3.1580976356089163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8.0348483255787002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14.515833437369601</v>
      </c>
      <c r="U2">
        <f>IF((ContinuousStatsTable[[#This Row],[RepsRequested]]&gt;1),ContinuousStatsTable[[#This Row],[HalfWidth]],ContinuousStatsTable[[#This Row],[BatchMeansHalfWidth]])</f>
        <v>3.1580976356089163</v>
      </c>
    </row>
    <row r="3" spans="1:21" x14ac:dyDescent="0.3">
      <c r="A3" t="s">
        <v>66</v>
      </c>
      <c r="B3" t="s">
        <v>69</v>
      </c>
      <c r="C3">
        <v>1</v>
      </c>
      <c r="D3" t="s">
        <v>73</v>
      </c>
      <c r="E3" t="s">
        <v>83</v>
      </c>
      <c r="F3" t="s">
        <v>72</v>
      </c>
      <c r="G3">
        <v>0.98794815128475499</v>
      </c>
      <c r="H3">
        <v>2E+20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ProjectM1.QueueNumber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0.98408706272758395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1.9607626167253388E-2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2.4346083502116582E-2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0.95246488026141696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1</v>
      </c>
      <c r="U3">
        <f>IF((ContinuousStatsTable[[#This Row],[RepsRequested]]&gt;1),ContinuousStatsTable[[#This Row],[HalfWidth]],ContinuousStatsTable[[#This Row],[BatchMeansHalfWidth]])</f>
        <v>2.4346083502116582E-2</v>
      </c>
    </row>
    <row r="4" spans="1:21" x14ac:dyDescent="0.3">
      <c r="A4" t="s">
        <v>66</v>
      </c>
      <c r="B4" t="s">
        <v>69</v>
      </c>
      <c r="C4">
        <v>1</v>
      </c>
      <c r="D4" t="s">
        <v>74</v>
      </c>
      <c r="E4" t="s">
        <v>83</v>
      </c>
      <c r="F4" t="s">
        <v>72</v>
      </c>
      <c r="G4">
        <v>1</v>
      </c>
      <c r="H4">
        <v>2E+20</v>
      </c>
      <c r="I4">
        <v>0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ProjectM2.QueueNumber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0.97417816031549587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3.5364205592457752E-2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4.3910460909231001E-2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0.93450928820183798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4.3910460909231001E-2</v>
      </c>
    </row>
    <row r="5" spans="1:21" x14ac:dyDescent="0.3">
      <c r="A5" t="s">
        <v>66</v>
      </c>
      <c r="B5" t="s">
        <v>69</v>
      </c>
      <c r="C5">
        <v>1</v>
      </c>
      <c r="D5" t="s">
        <v>84</v>
      </c>
      <c r="E5" t="s">
        <v>85</v>
      </c>
      <c r="F5" t="s">
        <v>86</v>
      </c>
      <c r="G5">
        <v>1</v>
      </c>
      <c r="H5">
        <v>2E+20</v>
      </c>
      <c r="I5">
        <v>0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ProjectMachineInstantaneous UtilizationResource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0.99654227791339822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7.7317016329440397E-3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9.6001755624798672E-3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0.982711389566991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1</v>
      </c>
      <c r="U5">
        <f>IF((ContinuousStatsTable[[#This Row],[RepsRequested]]&gt;1),ContinuousStatsTable[[#This Row],[HalfWidth]],ContinuousStatsTable[[#This Row],[BatchMeansHalfWidth]])</f>
        <v>9.6001755624798672E-3</v>
      </c>
    </row>
    <row r="6" spans="1:21" x14ac:dyDescent="0.3">
      <c r="A6" t="s">
        <v>66</v>
      </c>
      <c r="B6" t="s">
        <v>69</v>
      </c>
      <c r="C6">
        <v>1</v>
      </c>
      <c r="D6" t="s">
        <v>84</v>
      </c>
      <c r="E6" t="s">
        <v>87</v>
      </c>
      <c r="F6" t="s">
        <v>86</v>
      </c>
      <c r="G6">
        <v>1</v>
      </c>
      <c r="H6">
        <v>2E+20</v>
      </c>
      <c r="I6">
        <v>0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ProjectMachineNumber BusyResource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0.99654227791339822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7.7317016329440397E-3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9.6001755624798672E-3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0.982711389566991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</v>
      </c>
      <c r="U6">
        <f>IF((ContinuousStatsTable[[#This Row],[RepsRequested]]&gt;1),ContinuousStatsTable[[#This Row],[HalfWidth]],ContinuousStatsTable[[#This Row],[BatchMeansHalfWidth]])</f>
        <v>9.6001755624798672E-3</v>
      </c>
    </row>
    <row r="7" spans="1:21" x14ac:dyDescent="0.3">
      <c r="A7" t="s">
        <v>66</v>
      </c>
      <c r="B7" t="s">
        <v>69</v>
      </c>
      <c r="C7">
        <v>1</v>
      </c>
      <c r="D7" t="s">
        <v>84</v>
      </c>
      <c r="E7" t="s">
        <v>88</v>
      </c>
      <c r="F7" t="s">
        <v>86</v>
      </c>
      <c r="G7">
        <v>1</v>
      </c>
      <c r="H7">
        <v>2E+20</v>
      </c>
      <c r="I7">
        <v>1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ProjectMachineNumber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</v>
      </c>
      <c r="U7">
        <f>IF((ContinuousStatsTable[[#This Row],[RepsRequested]]&gt;1),ContinuousStatsTable[[#This Row],[HalfWidth]],ContinuousStatsTable[[#This Row],[BatchMeansHalfWidth]])</f>
        <v>0</v>
      </c>
    </row>
    <row r="8" spans="1:21" x14ac:dyDescent="0.3">
      <c r="A8" t="s">
        <v>66</v>
      </c>
      <c r="B8" t="s">
        <v>69</v>
      </c>
      <c r="C8">
        <v>1</v>
      </c>
      <c r="D8" t="s">
        <v>75</v>
      </c>
      <c r="E8" t="s">
        <v>89</v>
      </c>
      <c r="F8" t="s">
        <v>77</v>
      </c>
      <c r="G8">
        <v>13.318154490822099</v>
      </c>
      <c r="H8">
        <v>2E+20</v>
      </c>
      <c r="I8">
        <v>2</v>
      </c>
      <c r="J8">
        <v>21</v>
      </c>
      <c r="K8">
        <v>18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ProjectPartWIPEntity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14.67045620532728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2.5079257739398875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3.1140011436684696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11.0348483255787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17.432237232837</v>
      </c>
      <c r="U8">
        <f>IF((ContinuousStatsTable[[#This Row],[RepsRequested]]&gt;1),ContinuousStatsTable[[#This Row],[HalfWidth]],ContinuousStatsTable[[#This Row],[BatchMeansHalfWidth]])</f>
        <v>3.1140011436684696</v>
      </c>
    </row>
    <row r="9" spans="1:21" x14ac:dyDescent="0.3">
      <c r="A9" t="s">
        <v>66</v>
      </c>
      <c r="B9" t="s">
        <v>69</v>
      </c>
      <c r="C9">
        <v>2</v>
      </c>
      <c r="D9" t="s">
        <v>70</v>
      </c>
      <c r="E9" t="s">
        <v>83</v>
      </c>
      <c r="F9" t="s">
        <v>72</v>
      </c>
      <c r="G9">
        <v>14.515833437369601</v>
      </c>
      <c r="H9">
        <v>2E+20</v>
      </c>
      <c r="I9">
        <v>0</v>
      </c>
      <c r="J9">
        <v>27</v>
      </c>
      <c r="K9">
        <v>25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ProjectHold 1.QueueNumber WaitingQueue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11.71564870437078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2.5434398035036327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3.1580976356089163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8.0348483255787002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14.515833437369601</v>
      </c>
      <c r="U9">
        <f>IF((ContinuousStatsTable[[#This Row],[RepsRequested]]&gt;1),ContinuousStatsTable[[#This Row],[HalfWidth]],ContinuousStatsTable[[#This Row],[BatchMeansHalfWidth]])</f>
        <v>3.1580976356089163</v>
      </c>
    </row>
    <row r="10" spans="1:21" x14ac:dyDescent="0.3">
      <c r="A10" t="s">
        <v>66</v>
      </c>
      <c r="B10" t="s">
        <v>69</v>
      </c>
      <c r="C10">
        <v>2</v>
      </c>
      <c r="D10" t="s">
        <v>73</v>
      </c>
      <c r="E10" t="s">
        <v>83</v>
      </c>
      <c r="F10" t="s">
        <v>72</v>
      </c>
      <c r="G10">
        <v>0.98002228209174802</v>
      </c>
      <c r="H10">
        <v>2E+20</v>
      </c>
      <c r="I10">
        <v>0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ProjectM1.QueueNumber WaitingQueue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0.98408706272758395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1.9607626167253388E-2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2.4346083502116582E-2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0.95246488026141696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</v>
      </c>
      <c r="U10">
        <f>IF((ContinuousStatsTable[[#This Row],[RepsRequested]]&gt;1),ContinuousStatsTable[[#This Row],[HalfWidth]],ContinuousStatsTable[[#This Row],[BatchMeansHalfWidth]])</f>
        <v>2.4346083502116582E-2</v>
      </c>
    </row>
    <row r="11" spans="1:21" x14ac:dyDescent="0.3">
      <c r="A11" t="s">
        <v>66</v>
      </c>
      <c r="B11" t="s">
        <v>69</v>
      </c>
      <c r="C11">
        <v>2</v>
      </c>
      <c r="D11" t="s">
        <v>74</v>
      </c>
      <c r="E11" t="s">
        <v>83</v>
      </c>
      <c r="F11" t="s">
        <v>72</v>
      </c>
      <c r="G11">
        <v>0.93638151337564102</v>
      </c>
      <c r="H11">
        <v>2E+20</v>
      </c>
      <c r="I11">
        <v>0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ProjectM2.QueueNumber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0.97417816031549587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3.5364205592457752E-2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4.3910460909231001E-2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0.93450928820183798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</v>
      </c>
      <c r="U11">
        <f>IF((ContinuousStatsTable[[#This Row],[RepsRequested]]&gt;1),ContinuousStatsTable[[#This Row],[HalfWidth]],ContinuousStatsTable[[#This Row],[BatchMeansHalfWidth]])</f>
        <v>4.3910460909231001E-2</v>
      </c>
    </row>
    <row r="12" spans="1:21" x14ac:dyDescent="0.3">
      <c r="A12" t="s">
        <v>66</v>
      </c>
      <c r="B12" t="s">
        <v>69</v>
      </c>
      <c r="C12">
        <v>2</v>
      </c>
      <c r="D12" t="s">
        <v>84</v>
      </c>
      <c r="E12" t="s">
        <v>85</v>
      </c>
      <c r="F12" t="s">
        <v>86</v>
      </c>
      <c r="G12">
        <v>1</v>
      </c>
      <c r="H12">
        <v>2E+20</v>
      </c>
      <c r="I12">
        <v>0</v>
      </c>
      <c r="J12">
        <v>1</v>
      </c>
      <c r="K12">
        <v>1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ProjectMachineInstantaneous UtilizationResource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5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0.99654227791339822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7.7317016329440397E-3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9.6001755624798672E-3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0.982711389566991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1</v>
      </c>
      <c r="U12" s="5">
        <f>IF((ContinuousStatsTable[[#This Row],[RepsRequested]]&gt;1),ContinuousStatsTable[[#This Row],[HalfWidth]],ContinuousStatsTable[[#This Row],[BatchMeansHalfWidth]])</f>
        <v>9.6001755624798672E-3</v>
      </c>
    </row>
    <row r="13" spans="1:21" x14ac:dyDescent="0.3">
      <c r="A13" t="s">
        <v>66</v>
      </c>
      <c r="B13" t="s">
        <v>69</v>
      </c>
      <c r="C13">
        <v>2</v>
      </c>
      <c r="D13" t="s">
        <v>84</v>
      </c>
      <c r="E13" t="s">
        <v>87</v>
      </c>
      <c r="F13" t="s">
        <v>86</v>
      </c>
      <c r="G13">
        <v>1</v>
      </c>
      <c r="H13">
        <v>2E+20</v>
      </c>
      <c r="I13">
        <v>0</v>
      </c>
      <c r="J13">
        <v>1</v>
      </c>
      <c r="K13">
        <v>1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ProjectMachineNumber BusyResource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5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0.99654227791339822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7.7317016329440397E-3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9.6001755624798672E-3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0.982711389566991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1</v>
      </c>
      <c r="U13" s="5">
        <f>IF((ContinuousStatsTable[[#This Row],[RepsRequested]]&gt;1),ContinuousStatsTable[[#This Row],[HalfWidth]],ContinuousStatsTable[[#This Row],[BatchMeansHalfWidth]])</f>
        <v>9.6001755624798672E-3</v>
      </c>
    </row>
    <row r="14" spans="1:21" x14ac:dyDescent="0.3">
      <c r="A14" t="s">
        <v>66</v>
      </c>
      <c r="B14" t="s">
        <v>69</v>
      </c>
      <c r="C14">
        <v>2</v>
      </c>
      <c r="D14" t="s">
        <v>84</v>
      </c>
      <c r="E14" t="s">
        <v>88</v>
      </c>
      <c r="F14" t="s">
        <v>86</v>
      </c>
      <c r="G14">
        <v>1</v>
      </c>
      <c r="H14">
        <v>2E+20</v>
      </c>
      <c r="I14">
        <v>1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ProjectMachineNumber ScheduledResource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5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1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1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1</v>
      </c>
      <c r="U14" s="5">
        <f>IF((ContinuousStatsTable[[#This Row],[RepsRequested]]&gt;1),ContinuousStatsTable[[#This Row],[HalfWidth]],ContinuousStatsTable[[#This Row],[BatchMeansHalfWidth]])</f>
        <v>0</v>
      </c>
    </row>
    <row r="15" spans="1:21" x14ac:dyDescent="0.3">
      <c r="A15" t="s">
        <v>66</v>
      </c>
      <c r="B15" t="s">
        <v>69</v>
      </c>
      <c r="C15">
        <v>2</v>
      </c>
      <c r="D15" t="s">
        <v>75</v>
      </c>
      <c r="E15" t="s">
        <v>89</v>
      </c>
      <c r="F15" t="s">
        <v>77</v>
      </c>
      <c r="G15">
        <v>17.432237232837</v>
      </c>
      <c r="H15">
        <v>2E+20</v>
      </c>
      <c r="I15">
        <v>1</v>
      </c>
      <c r="J15">
        <v>30</v>
      </c>
      <c r="K15">
        <v>28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5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14.67045620532728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2.5079257739398875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3.1140011436684696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11.0348483255787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17.432237232837</v>
      </c>
      <c r="U15" s="5">
        <f>IF((ContinuousStatsTable[[#This Row],[RepsRequested]]&gt;1),ContinuousStatsTable[[#This Row],[HalfWidth]],ContinuousStatsTable[[#This Row],[BatchMeansHalfWidth]])</f>
        <v>3.1140011436684696</v>
      </c>
    </row>
    <row r="16" spans="1:21" x14ac:dyDescent="0.3">
      <c r="A16" t="s">
        <v>66</v>
      </c>
      <c r="B16" t="s">
        <v>69</v>
      </c>
      <c r="C16">
        <v>3</v>
      </c>
      <c r="D16" t="s">
        <v>70</v>
      </c>
      <c r="E16" t="s">
        <v>83</v>
      </c>
      <c r="F16" t="s">
        <v>72</v>
      </c>
      <c r="G16">
        <v>12.843284718280801</v>
      </c>
      <c r="H16">
        <v>2E+20</v>
      </c>
      <c r="I16">
        <v>3</v>
      </c>
      <c r="J16">
        <v>25</v>
      </c>
      <c r="K16">
        <v>24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ProjectHold 1.QueueNumber WaitingQueue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5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11.71564870437078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2.5434398035036327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3.1580976356089163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8.0348483255787002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14.515833437369601</v>
      </c>
      <c r="U16" s="5">
        <f>IF((ContinuousStatsTable[[#This Row],[RepsRequested]]&gt;1),ContinuousStatsTable[[#This Row],[HalfWidth]],ContinuousStatsTable[[#This Row],[BatchMeansHalfWidth]])</f>
        <v>3.1580976356089163</v>
      </c>
    </row>
    <row r="17" spans="1:21" x14ac:dyDescent="0.3">
      <c r="A17" t="s">
        <v>66</v>
      </c>
      <c r="B17" t="s">
        <v>69</v>
      </c>
      <c r="C17">
        <v>3</v>
      </c>
      <c r="D17" t="s">
        <v>73</v>
      </c>
      <c r="E17" t="s">
        <v>83</v>
      </c>
      <c r="F17" t="s">
        <v>72</v>
      </c>
      <c r="G17">
        <v>1</v>
      </c>
      <c r="H17">
        <v>2E+20</v>
      </c>
      <c r="I17">
        <v>0</v>
      </c>
      <c r="J17">
        <v>1</v>
      </c>
      <c r="K17">
        <v>1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ProjectM1.QueueNumber WaitingQueue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5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0.98408706272758395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1.9607626167253388E-2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2.4346083502116582E-2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0.95246488026141696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1</v>
      </c>
      <c r="U17" s="5">
        <f>IF((ContinuousStatsTable[[#This Row],[RepsRequested]]&gt;1),ContinuousStatsTable[[#This Row],[HalfWidth]],ContinuousStatsTable[[#This Row],[BatchMeansHalfWidth]])</f>
        <v>2.4346083502116582E-2</v>
      </c>
    </row>
    <row r="18" spans="1:21" x14ac:dyDescent="0.3">
      <c r="A18" t="s">
        <v>66</v>
      </c>
      <c r="B18" t="s">
        <v>69</v>
      </c>
      <c r="C18">
        <v>3</v>
      </c>
      <c r="D18" t="s">
        <v>74</v>
      </c>
      <c r="E18" t="s">
        <v>83</v>
      </c>
      <c r="F18" t="s">
        <v>72</v>
      </c>
      <c r="G18">
        <v>1</v>
      </c>
      <c r="H18">
        <v>2E+20</v>
      </c>
      <c r="I18">
        <v>0</v>
      </c>
      <c r="J18">
        <v>1</v>
      </c>
      <c r="K18">
        <v>1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ProjectM2.QueueNumber WaitingQueue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5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0.97417816031549587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3.5364205592457752E-2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4.3910460909231001E-2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0.93450928820183798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1</v>
      </c>
      <c r="U18" s="5">
        <f>IF((ContinuousStatsTable[[#This Row],[RepsRequested]]&gt;1),ContinuousStatsTable[[#This Row],[HalfWidth]],ContinuousStatsTable[[#This Row],[BatchMeansHalfWidth]])</f>
        <v>4.3910460909231001E-2</v>
      </c>
    </row>
    <row r="19" spans="1:21" x14ac:dyDescent="0.3">
      <c r="A19" t="s">
        <v>66</v>
      </c>
      <c r="B19" t="s">
        <v>69</v>
      </c>
      <c r="C19">
        <v>3</v>
      </c>
      <c r="D19" t="s">
        <v>84</v>
      </c>
      <c r="E19" t="s">
        <v>85</v>
      </c>
      <c r="F19" t="s">
        <v>86</v>
      </c>
      <c r="G19">
        <v>1</v>
      </c>
      <c r="H19">
        <v>2E+20</v>
      </c>
      <c r="I19">
        <v>0</v>
      </c>
      <c r="J19">
        <v>1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ProjectMachineInstantaneous UtilizationResource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5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0.99654227791339822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7.7317016329440397E-3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9.6001755624798672E-3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0.982711389566991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1</v>
      </c>
      <c r="U19" s="5">
        <f>IF((ContinuousStatsTable[[#This Row],[RepsRequested]]&gt;1),ContinuousStatsTable[[#This Row],[HalfWidth]],ContinuousStatsTable[[#This Row],[BatchMeansHalfWidth]])</f>
        <v>9.6001755624798672E-3</v>
      </c>
    </row>
    <row r="20" spans="1:21" x14ac:dyDescent="0.3">
      <c r="A20" t="s">
        <v>66</v>
      </c>
      <c r="B20" t="s">
        <v>69</v>
      </c>
      <c r="C20">
        <v>3</v>
      </c>
      <c r="D20" t="s">
        <v>84</v>
      </c>
      <c r="E20" t="s">
        <v>87</v>
      </c>
      <c r="F20" t="s">
        <v>86</v>
      </c>
      <c r="G20">
        <v>1</v>
      </c>
      <c r="H20">
        <v>2E+20</v>
      </c>
      <c r="I20">
        <v>0</v>
      </c>
      <c r="J20">
        <v>1</v>
      </c>
      <c r="K20">
        <v>1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ProjectMachineNumber BusyResource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5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0.99654227791339822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7.7317016329440397E-3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9.6001755624798672E-3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0.982711389566991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1</v>
      </c>
      <c r="U20" s="5">
        <f>IF((ContinuousStatsTable[[#This Row],[RepsRequested]]&gt;1),ContinuousStatsTable[[#This Row],[HalfWidth]],ContinuousStatsTable[[#This Row],[BatchMeansHalfWidth]])</f>
        <v>9.6001755624798672E-3</v>
      </c>
    </row>
    <row r="21" spans="1:21" x14ac:dyDescent="0.3">
      <c r="A21" t="s">
        <v>66</v>
      </c>
      <c r="B21" t="s">
        <v>69</v>
      </c>
      <c r="C21">
        <v>3</v>
      </c>
      <c r="D21" t="s">
        <v>84</v>
      </c>
      <c r="E21" t="s">
        <v>88</v>
      </c>
      <c r="F21" t="s">
        <v>86</v>
      </c>
      <c r="G21">
        <v>1</v>
      </c>
      <c r="H21">
        <v>2E+20</v>
      </c>
      <c r="I21">
        <v>1</v>
      </c>
      <c r="J21">
        <v>1</v>
      </c>
      <c r="K21">
        <v>1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ProjectMachineNumber ScheduledResource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5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1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1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1</v>
      </c>
      <c r="U21" s="5">
        <f>IF((ContinuousStatsTable[[#This Row],[RepsRequested]]&gt;1),ContinuousStatsTable[[#This Row],[HalfWidth]],ContinuousStatsTable[[#This Row],[BatchMeansHalfWidth]])</f>
        <v>0</v>
      </c>
    </row>
    <row r="22" spans="1:21" x14ac:dyDescent="0.3">
      <c r="A22" t="s">
        <v>66</v>
      </c>
      <c r="B22" t="s">
        <v>69</v>
      </c>
      <c r="C22">
        <v>3</v>
      </c>
      <c r="D22" t="s">
        <v>75</v>
      </c>
      <c r="E22" t="s">
        <v>89</v>
      </c>
      <c r="F22" t="s">
        <v>77</v>
      </c>
      <c r="G22">
        <v>15.843284718280801</v>
      </c>
      <c r="H22">
        <v>2E+20</v>
      </c>
      <c r="I22">
        <v>6</v>
      </c>
      <c r="J22">
        <v>28</v>
      </c>
      <c r="K22">
        <v>27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5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14.67045620532728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2.5079257739398875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3.1140011436684696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11.0348483255787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17.432237232837</v>
      </c>
      <c r="U22" s="5">
        <f>IF((ContinuousStatsTable[[#This Row],[RepsRequested]]&gt;1),ContinuousStatsTable[[#This Row],[HalfWidth]],ContinuousStatsTable[[#This Row],[BatchMeansHalfWidth]])</f>
        <v>3.1140011436684696</v>
      </c>
    </row>
    <row r="23" spans="1:21" x14ac:dyDescent="0.3">
      <c r="A23" t="s">
        <v>66</v>
      </c>
      <c r="B23" t="s">
        <v>69</v>
      </c>
      <c r="C23">
        <v>4</v>
      </c>
      <c r="D23" t="s">
        <v>70</v>
      </c>
      <c r="E23" t="s">
        <v>83</v>
      </c>
      <c r="F23" t="s">
        <v>72</v>
      </c>
      <c r="G23">
        <v>8.0348483255787002</v>
      </c>
      <c r="H23">
        <v>2E+20</v>
      </c>
      <c r="I23">
        <v>0</v>
      </c>
      <c r="J23">
        <v>18</v>
      </c>
      <c r="K23">
        <v>17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ProjectHold 1.QueueNumber WaitingQueue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5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11.71564870437078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2.5434398035036327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3.1580976356089163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8.0348483255787002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14.515833437369601</v>
      </c>
      <c r="U23" s="5">
        <f>IF((ContinuousStatsTable[[#This Row],[RepsRequested]]&gt;1),ContinuousStatsTable[[#This Row],[HalfWidth]],ContinuousStatsTable[[#This Row],[BatchMeansHalfWidth]])</f>
        <v>3.1580976356089163</v>
      </c>
    </row>
    <row r="24" spans="1:21" x14ac:dyDescent="0.3">
      <c r="A24" t="s">
        <v>66</v>
      </c>
      <c r="B24" t="s">
        <v>69</v>
      </c>
      <c r="C24">
        <v>4</v>
      </c>
      <c r="D24" t="s">
        <v>73</v>
      </c>
      <c r="E24" t="s">
        <v>83</v>
      </c>
      <c r="F24" t="s">
        <v>72</v>
      </c>
      <c r="G24">
        <v>1</v>
      </c>
      <c r="H24">
        <v>2E+20</v>
      </c>
      <c r="I24">
        <v>0</v>
      </c>
      <c r="J24">
        <v>1</v>
      </c>
      <c r="K24">
        <v>1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ProjectM1.QueueNumber WaitingQueue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5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0.98408706272758395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1.9607626167253388E-2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2.4346083502116582E-2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0.95246488026141696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1</v>
      </c>
      <c r="U24" s="5">
        <f>IF((ContinuousStatsTable[[#This Row],[RepsRequested]]&gt;1),ContinuousStatsTable[[#This Row],[HalfWidth]],ContinuousStatsTable[[#This Row],[BatchMeansHalfWidth]])</f>
        <v>2.4346083502116582E-2</v>
      </c>
    </row>
    <row r="25" spans="1:21" x14ac:dyDescent="0.3">
      <c r="A25" t="s">
        <v>66</v>
      </c>
      <c r="B25" t="s">
        <v>69</v>
      </c>
      <c r="C25">
        <v>4</v>
      </c>
      <c r="D25" t="s">
        <v>74</v>
      </c>
      <c r="E25" t="s">
        <v>83</v>
      </c>
      <c r="F25" t="s">
        <v>72</v>
      </c>
      <c r="G25">
        <v>1</v>
      </c>
      <c r="H25">
        <v>2E+20</v>
      </c>
      <c r="I25">
        <v>0</v>
      </c>
      <c r="J25">
        <v>1</v>
      </c>
      <c r="K25">
        <v>1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ProjectM2.QueueNumber WaitingQueue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5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0.97417816031549587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3.5364205592457752E-2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4.3910460909231001E-2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0.93450928820183798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1</v>
      </c>
      <c r="U25" s="5">
        <f>IF((ContinuousStatsTable[[#This Row],[RepsRequested]]&gt;1),ContinuousStatsTable[[#This Row],[HalfWidth]],ContinuousStatsTable[[#This Row],[BatchMeansHalfWidth]])</f>
        <v>4.3910460909231001E-2</v>
      </c>
    </row>
    <row r="26" spans="1:21" x14ac:dyDescent="0.3">
      <c r="A26" t="s">
        <v>66</v>
      </c>
      <c r="B26" t="s">
        <v>69</v>
      </c>
      <c r="C26">
        <v>4</v>
      </c>
      <c r="D26" t="s">
        <v>84</v>
      </c>
      <c r="E26" t="s">
        <v>85</v>
      </c>
      <c r="F26" t="s">
        <v>86</v>
      </c>
      <c r="G26">
        <v>1</v>
      </c>
      <c r="H26">
        <v>2E+20</v>
      </c>
      <c r="I26">
        <v>0</v>
      </c>
      <c r="J26">
        <v>1</v>
      </c>
      <c r="K26">
        <v>1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ProjectMachineInstantaneous UtilizationResource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5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0.99654227791339822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7.7317016329440397E-3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9.6001755624798672E-3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0.982711389566991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1</v>
      </c>
      <c r="U26" s="5">
        <f>IF((ContinuousStatsTable[[#This Row],[RepsRequested]]&gt;1),ContinuousStatsTable[[#This Row],[HalfWidth]],ContinuousStatsTable[[#This Row],[BatchMeansHalfWidth]])</f>
        <v>9.6001755624798672E-3</v>
      </c>
    </row>
    <row r="27" spans="1:21" x14ac:dyDescent="0.3">
      <c r="A27" t="s">
        <v>66</v>
      </c>
      <c r="B27" t="s">
        <v>69</v>
      </c>
      <c r="C27">
        <v>4</v>
      </c>
      <c r="D27" t="s">
        <v>84</v>
      </c>
      <c r="E27" t="s">
        <v>87</v>
      </c>
      <c r="F27" t="s">
        <v>86</v>
      </c>
      <c r="G27">
        <v>1</v>
      </c>
      <c r="H27">
        <v>2E+20</v>
      </c>
      <c r="I27">
        <v>0</v>
      </c>
      <c r="J27">
        <v>1</v>
      </c>
      <c r="K27">
        <v>1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Unnamed ProjectMachineNumber BusyResource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5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0.99654227791339822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7.7317016329440397E-3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9.6001755624798672E-3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0.982711389566991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1</v>
      </c>
      <c r="U27" s="5">
        <f>IF((ContinuousStatsTable[[#This Row],[RepsRequested]]&gt;1),ContinuousStatsTable[[#This Row],[HalfWidth]],ContinuousStatsTable[[#This Row],[BatchMeansHalfWidth]])</f>
        <v>9.6001755624798672E-3</v>
      </c>
    </row>
    <row r="28" spans="1:21" x14ac:dyDescent="0.3">
      <c r="A28" t="s">
        <v>66</v>
      </c>
      <c r="B28" t="s">
        <v>69</v>
      </c>
      <c r="C28">
        <v>4</v>
      </c>
      <c r="D28" t="s">
        <v>84</v>
      </c>
      <c r="E28" t="s">
        <v>88</v>
      </c>
      <c r="F28" t="s">
        <v>86</v>
      </c>
      <c r="G28">
        <v>1</v>
      </c>
      <c r="H28">
        <v>2E+20</v>
      </c>
      <c r="I28">
        <v>1</v>
      </c>
      <c r="J28">
        <v>1</v>
      </c>
      <c r="K28">
        <v>1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Unnamed ProjectMachineNumber ScheduledResource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5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1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0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1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1</v>
      </c>
      <c r="U28" s="5">
        <f>IF((ContinuousStatsTable[[#This Row],[RepsRequested]]&gt;1),ContinuousStatsTable[[#This Row],[HalfWidth]],ContinuousStatsTable[[#This Row],[BatchMeansHalfWidth]])</f>
        <v>0</v>
      </c>
    </row>
    <row r="29" spans="1:21" x14ac:dyDescent="0.3">
      <c r="A29" t="s">
        <v>66</v>
      </c>
      <c r="B29" t="s">
        <v>69</v>
      </c>
      <c r="C29">
        <v>4</v>
      </c>
      <c r="D29" t="s">
        <v>75</v>
      </c>
      <c r="E29" t="s">
        <v>89</v>
      </c>
      <c r="F29" t="s">
        <v>77</v>
      </c>
      <c r="G29">
        <v>11.0348483255787</v>
      </c>
      <c r="H29">
        <v>2E+20</v>
      </c>
      <c r="I29">
        <v>3</v>
      </c>
      <c r="J29">
        <v>21</v>
      </c>
      <c r="K29">
        <v>20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5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14.67045620532728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2.5079257739398875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3.1140011436684696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11.0348483255787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17.432237232837</v>
      </c>
      <c r="U29" s="5">
        <f>IF((ContinuousStatsTable[[#This Row],[RepsRequested]]&gt;1),ContinuousStatsTable[[#This Row],[HalfWidth]],ContinuousStatsTable[[#This Row],[BatchMeansHalfWidth]])</f>
        <v>3.1140011436684696</v>
      </c>
    </row>
    <row r="30" spans="1:21" x14ac:dyDescent="0.3">
      <c r="A30" t="s">
        <v>66</v>
      </c>
      <c r="B30" t="s">
        <v>69</v>
      </c>
      <c r="C30">
        <v>5</v>
      </c>
      <c r="D30" t="s">
        <v>70</v>
      </c>
      <c r="E30" t="s">
        <v>83</v>
      </c>
      <c r="F30" t="s">
        <v>72</v>
      </c>
      <c r="G30">
        <v>12.854070701087499</v>
      </c>
      <c r="H30">
        <v>2E+20</v>
      </c>
      <c r="I30">
        <v>0</v>
      </c>
      <c r="J30">
        <v>28</v>
      </c>
      <c r="K30">
        <v>27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Unnamed ProjectHold 1.QueueNumber WaitingQueue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5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11.71564870437078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2.5434398035036327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3.1580976356089163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8.0348483255787002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14.515833437369601</v>
      </c>
      <c r="U30" s="5">
        <f>IF((ContinuousStatsTable[[#This Row],[RepsRequested]]&gt;1),ContinuousStatsTable[[#This Row],[HalfWidth]],ContinuousStatsTable[[#This Row],[BatchMeansHalfWidth]])</f>
        <v>3.1580976356089163</v>
      </c>
    </row>
    <row r="31" spans="1:21" x14ac:dyDescent="0.3">
      <c r="A31" t="s">
        <v>66</v>
      </c>
      <c r="B31" t="s">
        <v>69</v>
      </c>
      <c r="C31">
        <v>5</v>
      </c>
      <c r="D31" t="s">
        <v>73</v>
      </c>
      <c r="E31" t="s">
        <v>83</v>
      </c>
      <c r="F31" t="s">
        <v>72</v>
      </c>
      <c r="G31">
        <v>0.95246488026141696</v>
      </c>
      <c r="H31">
        <v>2E+20</v>
      </c>
      <c r="I31">
        <v>0</v>
      </c>
      <c r="J31">
        <v>1</v>
      </c>
      <c r="K31">
        <v>1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Unnamed ProjectM1.QueueNumber WaitingQueue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5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0.98408706272758395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1.9607626167253388E-2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2.4346083502116582E-2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0.95246488026141696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1</v>
      </c>
      <c r="U31" s="5">
        <f>IF((ContinuousStatsTable[[#This Row],[RepsRequested]]&gt;1),ContinuousStatsTable[[#This Row],[HalfWidth]],ContinuousStatsTable[[#This Row],[BatchMeansHalfWidth]])</f>
        <v>2.4346083502116582E-2</v>
      </c>
    </row>
    <row r="32" spans="1:21" x14ac:dyDescent="0.3">
      <c r="A32" t="s">
        <v>66</v>
      </c>
      <c r="B32" t="s">
        <v>69</v>
      </c>
      <c r="C32">
        <v>5</v>
      </c>
      <c r="D32" t="s">
        <v>74</v>
      </c>
      <c r="E32" t="s">
        <v>83</v>
      </c>
      <c r="F32" t="s">
        <v>72</v>
      </c>
      <c r="G32">
        <v>0.93450928820183798</v>
      </c>
      <c r="H32">
        <v>2E+20</v>
      </c>
      <c r="I32">
        <v>0</v>
      </c>
      <c r="J32">
        <v>1</v>
      </c>
      <c r="K32">
        <v>1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Unnamed ProjectM2.QueueNumber WaitingQueue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5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0.97417816031549587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3.5364205592457752E-2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4.3910460909231001E-2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0.93450928820183798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1</v>
      </c>
      <c r="U32" s="5">
        <f>IF((ContinuousStatsTable[[#This Row],[RepsRequested]]&gt;1),ContinuousStatsTable[[#This Row],[HalfWidth]],ContinuousStatsTable[[#This Row],[BatchMeansHalfWidth]])</f>
        <v>4.3910460909231001E-2</v>
      </c>
    </row>
    <row r="33" spans="1:21" x14ac:dyDescent="0.3">
      <c r="A33" t="s">
        <v>66</v>
      </c>
      <c r="B33" t="s">
        <v>69</v>
      </c>
      <c r="C33">
        <v>5</v>
      </c>
      <c r="D33" t="s">
        <v>84</v>
      </c>
      <c r="E33" t="s">
        <v>85</v>
      </c>
      <c r="F33" t="s">
        <v>86</v>
      </c>
      <c r="G33">
        <v>0.982711389566991</v>
      </c>
      <c r="H33">
        <v>2E+20</v>
      </c>
      <c r="I33">
        <v>0</v>
      </c>
      <c r="J33">
        <v>1</v>
      </c>
      <c r="K33">
        <v>1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Unnamed ProjectMachineInstantaneous UtilizationResource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5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0.99654227791339822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7.7317016329440397E-3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9.6001755624798672E-3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0.982711389566991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1</v>
      </c>
      <c r="U33" s="5">
        <f>IF((ContinuousStatsTable[[#This Row],[RepsRequested]]&gt;1),ContinuousStatsTable[[#This Row],[HalfWidth]],ContinuousStatsTable[[#This Row],[BatchMeansHalfWidth]])</f>
        <v>9.6001755624798672E-3</v>
      </c>
    </row>
    <row r="34" spans="1:21" x14ac:dyDescent="0.3">
      <c r="A34" t="s">
        <v>66</v>
      </c>
      <c r="B34" t="s">
        <v>69</v>
      </c>
      <c r="C34">
        <v>5</v>
      </c>
      <c r="D34" t="s">
        <v>84</v>
      </c>
      <c r="E34" t="s">
        <v>87</v>
      </c>
      <c r="F34" t="s">
        <v>86</v>
      </c>
      <c r="G34">
        <v>0.982711389566991</v>
      </c>
      <c r="H34">
        <v>2E+20</v>
      </c>
      <c r="I34">
        <v>0</v>
      </c>
      <c r="J34">
        <v>1</v>
      </c>
      <c r="K34">
        <v>1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Unnamed ProjectMachineNumber BusyResource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5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0.99654227791339822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7.7317016329440397E-3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9.6001755624798672E-3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0.982711389566991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1</v>
      </c>
      <c r="U34" s="5">
        <f>IF((ContinuousStatsTable[[#This Row],[RepsRequested]]&gt;1),ContinuousStatsTable[[#This Row],[HalfWidth]],ContinuousStatsTable[[#This Row],[BatchMeansHalfWidth]])</f>
        <v>9.6001755624798672E-3</v>
      </c>
    </row>
    <row r="35" spans="1:21" x14ac:dyDescent="0.3">
      <c r="A35" t="s">
        <v>66</v>
      </c>
      <c r="B35" t="s">
        <v>69</v>
      </c>
      <c r="C35">
        <v>5</v>
      </c>
      <c r="D35" t="s">
        <v>84</v>
      </c>
      <c r="E35" t="s">
        <v>88</v>
      </c>
      <c r="F35" t="s">
        <v>86</v>
      </c>
      <c r="G35">
        <v>1</v>
      </c>
      <c r="H35">
        <v>2E+20</v>
      </c>
      <c r="I35">
        <v>1</v>
      </c>
      <c r="J35">
        <v>1</v>
      </c>
      <c r="K35">
        <v>1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Unnamed ProjectMachineNumber ScheduledResource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5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1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1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1</v>
      </c>
      <c r="U35" s="5">
        <f>IF((ContinuousStatsTable[[#This Row],[RepsRequested]]&gt;1),ContinuousStatsTable[[#This Row],[HalfWidth]],ContinuousStatsTable[[#This Row],[BatchMeansHalfWidth]])</f>
        <v>0</v>
      </c>
    </row>
    <row r="36" spans="1:21" x14ac:dyDescent="0.3">
      <c r="A36" t="s">
        <v>66</v>
      </c>
      <c r="B36" t="s">
        <v>69</v>
      </c>
      <c r="C36">
        <v>5</v>
      </c>
      <c r="D36" t="s">
        <v>75</v>
      </c>
      <c r="E36" t="s">
        <v>89</v>
      </c>
      <c r="F36" t="s">
        <v>77</v>
      </c>
      <c r="G36">
        <v>15.723756259117801</v>
      </c>
      <c r="H36">
        <v>2E+20</v>
      </c>
      <c r="I36">
        <v>0</v>
      </c>
      <c r="J36">
        <v>31</v>
      </c>
      <c r="K36">
        <v>30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5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14.67045620532728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2.5079257739398875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3.1140011436684696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11.0348483255787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17.432237232837</v>
      </c>
      <c r="U36" s="5">
        <f>IF((ContinuousStatsTable[[#This Row],[RepsRequested]]&gt;1),ContinuousStatsTable[[#This Row],[HalfWidth]],ContinuousStatsTable[[#This Row],[BatchMeansHalfWidth]])</f>
        <v>3.1140011436684696</v>
      </c>
    </row>
  </sheetData>
  <phoneticPr fontId="2" type="noConversion"/>
  <conditionalFormatting sqref="H2:H36">
    <cfRule type="expression" dxfId="11" priority="9">
      <formula>H2=200000000000000000000</formula>
    </cfRule>
  </conditionalFormatting>
  <conditionalFormatting sqref="H2:H36">
    <cfRule type="expression" dxfId="10" priority="7">
      <formula>H2=300000000000000000000</formula>
    </cfRule>
  </conditionalFormatting>
  <conditionalFormatting sqref="M2:U36">
    <cfRule type="expression" dxfId="9" priority="5">
      <formula>MOD(ROW(),2)=0</formula>
    </cfRule>
  </conditionalFormatting>
  <conditionalFormatting sqref="U2:U36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36 U2:U36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7.25" bestFit="1" customWidth="1"/>
    <col min="6" max="6" width="8.9140625" bestFit="1" customWidth="1"/>
    <col min="7" max="7" width="16.1640625" bestFit="1" customWidth="1"/>
    <col min="8" max="8" width="13.5" bestFit="1" customWidth="1"/>
    <col min="9" max="9" width="16.4140625" bestFit="1" customWidth="1"/>
    <col min="10" max="10" width="10.08203125" bestFit="1" customWidth="1"/>
    <col min="11" max="11" width="19.1640625" bestFit="1" customWidth="1"/>
    <col min="12" max="12" width="19.5" bestFit="1" customWidth="1"/>
    <col min="13" max="13" width="11.7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31"/>
  <sheetViews>
    <sheetView workbookViewId="0">
      <selection activeCell="A2" sqref="A2:H3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5.41406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65.5820312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4" width="12.33203125" bestFit="1" customWidth="1"/>
    <col min="15" max="15" width="11.25" bestFit="1" customWidth="1"/>
    <col min="16" max="16" width="11.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69</v>
      </c>
      <c r="C2">
        <v>1</v>
      </c>
      <c r="D2" t="s">
        <v>90</v>
      </c>
      <c r="E2" t="s">
        <v>91</v>
      </c>
      <c r="F2" t="s">
        <v>86</v>
      </c>
      <c r="G2">
        <v>35</v>
      </c>
      <c r="H2">
        <v>0</v>
      </c>
      <c r="I2" t="str">
        <f>OutputTable[[#This Row],[ProjectName]]&amp;OutputTable[[#This Row],[Name]]&amp;OutputTable[[#This Row],[Type]]&amp;OutputTable[[#This Row],[Source]]</f>
        <v>Unnamed ProjectMachine.NumberSeizedTotal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5</v>
      </c>
      <c r="K2" cm="1">
        <f t="array" ref="K2">IFERROR(AVERAGE(IF((OutputTable[GroupByKey]=OutputTable[[#This Row],[GroupByKey]]),(OutputTable[GroupByKey]=OutputTable[[#This Row],[GroupByKey]])*OutputTable[RecordedValue])),0)</f>
        <v>42.6</v>
      </c>
      <c r="L2" cm="1">
        <f t="array" ref="L2">IFERROR(_xlfn.STDEV.S(IF((OutputTable[GroupByKey]=OutputTable[[#This Row],[GroupByKey]]),(OutputTable[GroupByKey]=OutputTable[[#This Row],[GroupByKey]])*OutputTable[RecordedValue])),0)</f>
        <v>5.8991524815010656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7.3247652561942678</v>
      </c>
      <c r="O2" cm="1">
        <f t="array" ref="O2">MIN(IF((OutputTable[GroupByKey]=OutputTable[[#This Row],[GroupByKey]]),(OutputTable[GroupByKey]=OutputTable[[#This Row],[GroupByKey]])*OutputTable[RecordedValue]))</f>
        <v>35</v>
      </c>
      <c r="P2" cm="1">
        <f t="array" ref="P2">MAX(IF((OutputTable[GroupByKey]=OutputTable[[#This Row],[GroupByKey]]),(OutputTable[GroupByKey]=OutputTable[[#This Row],[GroupByKey]])*OutputTable[RecordedValue]))</f>
        <v>48</v>
      </c>
    </row>
    <row r="3" spans="1:16" x14ac:dyDescent="0.3">
      <c r="A3" t="s">
        <v>66</v>
      </c>
      <c r="B3" t="s">
        <v>69</v>
      </c>
      <c r="C3">
        <v>1</v>
      </c>
      <c r="D3" t="s">
        <v>92</v>
      </c>
      <c r="E3" t="s">
        <v>93</v>
      </c>
      <c r="F3" t="s">
        <v>86</v>
      </c>
      <c r="G3">
        <v>1</v>
      </c>
      <c r="H3">
        <v>0</v>
      </c>
      <c r="I3" t="str">
        <f>OutputTable[[#This Row],[ProjectName]]&amp;OutputTable[[#This Row],[Name]]&amp;OutputTable[[#This Row],[Type]]&amp;OutputTable[[#This Row],[Source]]</f>
        <v>Unnamed ProjectMachine.ScheduledUtilizationScheduled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5</v>
      </c>
      <c r="K3" cm="1">
        <f t="array" ref="K3">IFERROR(AVERAGE(IF((OutputTable[GroupByKey]=OutputTable[[#This Row],[GroupByKey]]),(OutputTable[GroupByKey]=OutputTable[[#This Row],[GroupByKey]])*OutputTable[RecordedValue])),0)</f>
        <v>0.99654227791339822</v>
      </c>
      <c r="L3" cm="1">
        <f t="array" ref="L3">IFERROR(_xlfn.STDEV.S(IF((OutputTable[GroupByKey]=OutputTable[[#This Row],[GroupByKey]]),(OutputTable[GroupByKey]=OutputTable[[#This Row],[GroupByKey]])*OutputTable[RecordedValue])),0)</f>
        <v>7.7317016329440397E-3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9.6001755624798672E-3</v>
      </c>
      <c r="O3" cm="1">
        <f t="array" ref="O3">MIN(IF((OutputTable[GroupByKey]=OutputTable[[#This Row],[GroupByKey]]),(OutputTable[GroupByKey]=OutputTable[[#This Row],[GroupByKey]])*OutputTable[RecordedValue]))</f>
        <v>0.982711389566991</v>
      </c>
      <c r="P3" cm="1">
        <f t="array" ref="P3">MAX(IF((OutputTable[GroupByKey]=OutputTable[[#This Row],[GroupByKey]]),(OutputTable[GroupByKey]=OutputTable[[#This Row],[GroupByKey]])*OutputTable[RecordedValue]))</f>
        <v>1</v>
      </c>
    </row>
    <row r="4" spans="1:16" x14ac:dyDescent="0.3">
      <c r="A4" t="s">
        <v>66</v>
      </c>
      <c r="B4" t="s">
        <v>69</v>
      </c>
      <c r="C4">
        <v>1</v>
      </c>
      <c r="D4" t="s">
        <v>94</v>
      </c>
      <c r="E4" t="s">
        <v>95</v>
      </c>
      <c r="F4" t="s">
        <v>77</v>
      </c>
      <c r="G4">
        <v>51</v>
      </c>
      <c r="H4">
        <v>0</v>
      </c>
      <c r="I4" t="str">
        <f>OutputTable[[#This Row],[ProjectName]]&amp;OutputTable[[#This Row],[Name]]&amp;OutputTable[[#This Row],[Type]]&amp;OutputTable[[#This Row],[Source]]</f>
        <v>Unnamed ProjectPart.NumberInNumber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5</v>
      </c>
      <c r="K4" cm="1">
        <f t="array" ref="K4">IFERROR(AVERAGE(IF((OutputTable[GroupByKey]=OutputTable[[#This Row],[GroupByKey]]),(OutputTable[GroupByKey]=OutputTable[[#This Row],[GroupByKey]])*OutputTable[RecordedValue])),0)</f>
        <v>64</v>
      </c>
      <c r="L4" cm="1">
        <f t="array" ref="L4">IFERROR(_xlfn.STDEV.S(IF((OutputTable[GroupByKey]=OutputTable[[#This Row],[GroupByKey]]),(OutputTable[GroupByKey]=OutputTable[[#This Row],[GroupByKey]])*OutputTable[RecordedValue])),0)</f>
        <v>9.8488578017961039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12.228972155918482</v>
      </c>
      <c r="O4" cm="1">
        <f t="array" ref="O4">MIN(IF((OutputTable[GroupByKey]=OutputTable[[#This Row],[GroupByKey]]),(OutputTable[GroupByKey]=OutputTable[[#This Row],[GroupByKey]])*OutputTable[RecordedValue]))</f>
        <v>51</v>
      </c>
      <c r="P4" cm="1">
        <f t="array" ref="P4">MAX(IF((OutputTable[GroupByKey]=OutputTable[[#This Row],[GroupByKey]]),(OutputTable[GroupByKey]=OutputTable[[#This Row],[GroupByKey]])*OutputTable[RecordedValue]))</f>
        <v>77</v>
      </c>
    </row>
    <row r="5" spans="1:16" x14ac:dyDescent="0.3">
      <c r="A5" t="s">
        <v>66</v>
      </c>
      <c r="B5" t="s">
        <v>69</v>
      </c>
      <c r="C5">
        <v>1</v>
      </c>
      <c r="D5" t="s">
        <v>96</v>
      </c>
      <c r="E5" t="s">
        <v>97</v>
      </c>
      <c r="F5" t="s">
        <v>77</v>
      </c>
      <c r="G5">
        <v>35</v>
      </c>
      <c r="H5">
        <v>0</v>
      </c>
      <c r="I5" t="str">
        <f>OutputTable[[#This Row],[ProjectName]]&amp;OutputTable[[#This Row],[Name]]&amp;OutputTable[[#This Row],[Type]]&amp;OutputTable[[#This Row],[Source]]</f>
        <v>Unnamed ProjectPart.NumberOutNumber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5</v>
      </c>
      <c r="K5" cm="1">
        <f t="array" ref="K5">IFERROR(AVERAGE(IF((OutputTable[GroupByKey]=OutputTable[[#This Row],[GroupByKey]]),(OutputTable[GroupByKey]=OutputTable[[#This Row],[GroupByKey]])*OutputTable[RecordedValue])),0)</f>
        <v>42.4</v>
      </c>
      <c r="L5" cm="1">
        <f t="array" ref="L5">IFERROR(_xlfn.STDEV.S(IF((OutputTable[GroupByKey]=OutputTable[[#This Row],[GroupByKey]]),(OutputTable[GroupByKey]=OutputTable[[#This Row],[GroupByKey]])*OutputTable[RecordedValue])),0)</f>
        <v>5.6833088953531448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7.0567600460312025</v>
      </c>
      <c r="O5" cm="1">
        <f t="array" ref="O5">MIN(IF((OutputTable[GroupByKey]=OutputTable[[#This Row],[GroupByKey]]),(OutputTable[GroupByKey]=OutputTable[[#This Row],[GroupByKey]])*OutputTable[RecordedValue]))</f>
        <v>35</v>
      </c>
      <c r="P5" cm="1">
        <f t="array" ref="P5">MAX(IF((OutputTable[GroupByKey]=OutputTable[[#This Row],[GroupByKey]]),(OutputTable[GroupByKey]=OutputTable[[#This Row],[GroupByKey]])*OutputTable[RecordedValue]))</f>
        <v>48</v>
      </c>
    </row>
    <row r="6" spans="1:16" x14ac:dyDescent="0.3">
      <c r="A6" t="s">
        <v>66</v>
      </c>
      <c r="B6" t="s">
        <v>69</v>
      </c>
      <c r="C6">
        <v>1</v>
      </c>
      <c r="D6" t="s">
        <v>98</v>
      </c>
      <c r="E6" t="s">
        <v>97</v>
      </c>
      <c r="F6" t="s">
        <v>99</v>
      </c>
      <c r="G6">
        <v>35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5</v>
      </c>
      <c r="K6" cm="1">
        <f t="array" ref="K6">IFERROR(AVERAGE(IF((OutputTable[GroupByKey]=OutputTable[[#This Row],[GroupByKey]]),(OutputTable[GroupByKey]=OutputTable[[#This Row],[GroupByKey]])*OutputTable[RecordedValue])),0)</f>
        <v>42.4</v>
      </c>
      <c r="L6" cm="1">
        <f t="array" ref="L6">IFERROR(_xlfn.STDEV.S(IF((OutputTable[GroupByKey]=OutputTable[[#This Row],[GroupByKey]]),(OutputTable[GroupByKey]=OutputTable[[#This Row],[GroupByKey]])*OutputTable[RecordedValue])),0)</f>
        <v>5.6833088953531448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7.0567600460312025</v>
      </c>
      <c r="O6" cm="1">
        <f t="array" ref="O6">MIN(IF((OutputTable[GroupByKey]=OutputTable[[#This Row],[GroupByKey]]),(OutputTable[GroupByKey]=OutputTable[[#This Row],[GroupByKey]])*OutputTable[RecordedValue]))</f>
        <v>35</v>
      </c>
      <c r="P6" cm="1">
        <f t="array" ref="P6">MAX(IF((OutputTable[GroupByKey]=OutputTable[[#This Row],[GroupByKey]]),(OutputTable[GroupByKey]=OutputTable[[#This Row],[GroupByKey]])*OutputTable[RecordedValue]))</f>
        <v>48</v>
      </c>
    </row>
    <row r="7" spans="1:16" x14ac:dyDescent="0.3">
      <c r="A7" t="s">
        <v>66</v>
      </c>
      <c r="B7" t="s">
        <v>69</v>
      </c>
      <c r="C7">
        <v>2</v>
      </c>
      <c r="D7" t="s">
        <v>90</v>
      </c>
      <c r="E7" t="s">
        <v>91</v>
      </c>
      <c r="F7" t="s">
        <v>86</v>
      </c>
      <c r="G7">
        <v>38</v>
      </c>
      <c r="H7">
        <v>0</v>
      </c>
      <c r="I7" t="str">
        <f>OutputTable[[#This Row],[ProjectName]]&amp;OutputTable[[#This Row],[Name]]&amp;OutputTable[[#This Row],[Type]]&amp;OutputTable[[#This Row],[Source]]</f>
        <v>Unnamed ProjectMachine.NumberSeizedTotal Number SeizedResource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5</v>
      </c>
      <c r="K7" cm="1">
        <f t="array" ref="K7">IFERROR(AVERAGE(IF((OutputTable[GroupByKey]=OutputTable[[#This Row],[GroupByKey]]),(OutputTable[GroupByKey]=OutputTable[[#This Row],[GroupByKey]])*OutputTable[RecordedValue])),0)</f>
        <v>42.6</v>
      </c>
      <c r="L7" cm="1">
        <f t="array" ref="L7">IFERROR(_xlfn.STDEV.S(IF((OutputTable[GroupByKey]=OutputTable[[#This Row],[GroupByKey]]),(OutputTable[GroupByKey]=OutputTable[[#This Row],[GroupByKey]])*OutputTable[RecordedValue])),0)</f>
        <v>5.8991524815010656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7.3247652561942678</v>
      </c>
      <c r="O7" cm="1">
        <f t="array" ref="O7">MIN(IF((OutputTable[GroupByKey]=OutputTable[[#This Row],[GroupByKey]]),(OutputTable[GroupByKey]=OutputTable[[#This Row],[GroupByKey]])*OutputTable[RecordedValue]))</f>
        <v>35</v>
      </c>
      <c r="P7" cm="1">
        <f t="array" ref="P7">MAX(IF((OutputTable[GroupByKey]=OutputTable[[#This Row],[GroupByKey]]),(OutputTable[GroupByKey]=OutputTable[[#This Row],[GroupByKey]])*OutputTable[RecordedValue]))</f>
        <v>48</v>
      </c>
    </row>
    <row r="8" spans="1:16" x14ac:dyDescent="0.3">
      <c r="A8" t="s">
        <v>66</v>
      </c>
      <c r="B8" t="s">
        <v>69</v>
      </c>
      <c r="C8">
        <v>2</v>
      </c>
      <c r="D8" t="s">
        <v>92</v>
      </c>
      <c r="E8" t="s">
        <v>93</v>
      </c>
      <c r="F8" t="s">
        <v>86</v>
      </c>
      <c r="G8">
        <v>1</v>
      </c>
      <c r="H8">
        <v>0</v>
      </c>
      <c r="I8" t="str">
        <f>OutputTable[[#This Row],[ProjectName]]&amp;OutputTable[[#This Row],[Name]]&amp;OutputTable[[#This Row],[Type]]&amp;OutputTable[[#This Row],[Source]]</f>
        <v>Unnamed ProjectMachine.ScheduledUtilizationScheduled UtilizationResource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5</v>
      </c>
      <c r="K8" cm="1">
        <f t="array" ref="K8">IFERROR(AVERAGE(IF((OutputTable[GroupByKey]=OutputTable[[#This Row],[GroupByKey]]),(OutputTable[GroupByKey]=OutputTable[[#This Row],[GroupByKey]])*OutputTable[RecordedValue])),0)</f>
        <v>0.99654227791339822</v>
      </c>
      <c r="L8" cm="1">
        <f t="array" ref="L8">IFERROR(_xlfn.STDEV.S(IF((OutputTable[GroupByKey]=OutputTable[[#This Row],[GroupByKey]]),(OutputTable[GroupByKey]=OutputTable[[#This Row],[GroupByKey]])*OutputTable[RecordedValue])),0)</f>
        <v>7.7317016329440397E-3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9.6001755624798672E-3</v>
      </c>
      <c r="O8" cm="1">
        <f t="array" ref="O8">MIN(IF((OutputTable[GroupByKey]=OutputTable[[#This Row],[GroupByKey]]),(OutputTable[GroupByKey]=OutputTable[[#This Row],[GroupByKey]])*OutputTable[RecordedValue]))</f>
        <v>0.982711389566991</v>
      </c>
      <c r="P8" cm="1">
        <f t="array" ref="P8">MAX(IF((OutputTable[GroupByKey]=OutputTable[[#This Row],[GroupByKey]]),(OutputTable[GroupByKey]=OutputTable[[#This Row],[GroupByKey]])*OutputTable[RecordedValue]))</f>
        <v>1</v>
      </c>
    </row>
    <row r="9" spans="1:16" x14ac:dyDescent="0.3">
      <c r="A9" t="s">
        <v>66</v>
      </c>
      <c r="B9" t="s">
        <v>69</v>
      </c>
      <c r="C9">
        <v>2</v>
      </c>
      <c r="D9" t="s">
        <v>94</v>
      </c>
      <c r="E9" t="s">
        <v>95</v>
      </c>
      <c r="F9" t="s">
        <v>77</v>
      </c>
      <c r="G9">
        <v>64</v>
      </c>
      <c r="H9">
        <v>0</v>
      </c>
      <c r="I9" t="str">
        <f>OutputTable[[#This Row],[ProjectName]]&amp;OutputTable[[#This Row],[Name]]&amp;OutputTable[[#This Row],[Type]]&amp;OutputTable[[#This Row],[Source]]</f>
        <v>Unnamed ProjectPart.NumberInNumber InEntity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5</v>
      </c>
      <c r="K9" cm="1">
        <f t="array" ref="K9">IFERROR(AVERAGE(IF((OutputTable[GroupByKey]=OutputTable[[#This Row],[GroupByKey]]),(OutputTable[GroupByKey]=OutputTable[[#This Row],[GroupByKey]])*OutputTable[RecordedValue])),0)</f>
        <v>64</v>
      </c>
      <c r="L9" cm="1">
        <f t="array" ref="L9">IFERROR(_xlfn.STDEV.S(IF((OutputTable[GroupByKey]=OutputTable[[#This Row],[GroupByKey]]),(OutputTable[GroupByKey]=OutputTable[[#This Row],[GroupByKey]])*OutputTable[RecordedValue])),0)</f>
        <v>9.8488578017961039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12.228972155918482</v>
      </c>
      <c r="O9" cm="1">
        <f t="array" ref="O9">MIN(IF((OutputTable[GroupByKey]=OutputTable[[#This Row],[GroupByKey]]),(OutputTable[GroupByKey]=OutputTable[[#This Row],[GroupByKey]])*OutputTable[RecordedValue]))</f>
        <v>51</v>
      </c>
      <c r="P9" cm="1">
        <f t="array" ref="P9">MAX(IF((OutputTable[GroupByKey]=OutputTable[[#This Row],[GroupByKey]]),(OutputTable[GroupByKey]=OutputTable[[#This Row],[GroupByKey]])*OutputTable[RecordedValue]))</f>
        <v>77</v>
      </c>
    </row>
    <row r="10" spans="1:16" x14ac:dyDescent="0.3">
      <c r="A10" t="s">
        <v>66</v>
      </c>
      <c r="B10" t="s">
        <v>69</v>
      </c>
      <c r="C10">
        <v>2</v>
      </c>
      <c r="D10" t="s">
        <v>96</v>
      </c>
      <c r="E10" t="s">
        <v>97</v>
      </c>
      <c r="F10" t="s">
        <v>77</v>
      </c>
      <c r="G10">
        <v>38</v>
      </c>
      <c r="H10">
        <v>0</v>
      </c>
      <c r="I10" t="str">
        <f>OutputTable[[#This Row],[ProjectName]]&amp;OutputTable[[#This Row],[Name]]&amp;OutputTable[[#This Row],[Type]]&amp;OutputTable[[#This Row],[Source]]</f>
        <v>Unnamed ProjectPart.NumberOutNumber OutEntity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5</v>
      </c>
      <c r="K10" cm="1">
        <f t="array" ref="K10">IFERROR(AVERAGE(IF((OutputTable[GroupByKey]=OutputTable[[#This Row],[GroupByKey]]),(OutputTable[GroupByKey]=OutputTable[[#This Row],[GroupByKey]])*OutputTable[RecordedValue])),0)</f>
        <v>42.4</v>
      </c>
      <c r="L10" cm="1">
        <f t="array" ref="L10">IFERROR(_xlfn.STDEV.S(IF((OutputTable[GroupByKey]=OutputTable[[#This Row],[GroupByKey]]),(OutputTable[GroupByKey]=OutputTable[[#This Row],[GroupByKey]])*OutputTable[RecordedValue])),0)</f>
        <v>5.6833088953531448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7.0567600460312025</v>
      </c>
      <c r="O10" cm="1">
        <f t="array" ref="O10">MIN(IF((OutputTable[GroupByKey]=OutputTable[[#This Row],[GroupByKey]]),(OutputTable[GroupByKey]=OutputTable[[#This Row],[GroupByKey]])*OutputTable[RecordedValue]))</f>
        <v>35</v>
      </c>
      <c r="P10" cm="1">
        <f t="array" ref="P10">MAX(IF((OutputTable[GroupByKey]=OutputTable[[#This Row],[GroupByKey]]),(OutputTable[GroupByKey]=OutputTable[[#This Row],[GroupByKey]])*OutputTable[RecordedValue]))</f>
        <v>48</v>
      </c>
    </row>
    <row r="11" spans="1:16" x14ac:dyDescent="0.3">
      <c r="A11" t="s">
        <v>66</v>
      </c>
      <c r="B11" t="s">
        <v>69</v>
      </c>
      <c r="C11">
        <v>2</v>
      </c>
      <c r="D11" t="s">
        <v>98</v>
      </c>
      <c r="E11" t="s">
        <v>97</v>
      </c>
      <c r="F11" t="s">
        <v>99</v>
      </c>
      <c r="G11">
        <v>38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5</v>
      </c>
      <c r="K11" cm="1">
        <f t="array" ref="K11">IFERROR(AVERAGE(IF((OutputTable[GroupByKey]=OutputTable[[#This Row],[GroupByKey]]),(OutputTable[GroupByKey]=OutputTable[[#This Row],[GroupByKey]])*OutputTable[RecordedValue])),0)</f>
        <v>42.4</v>
      </c>
      <c r="L11" cm="1">
        <f t="array" ref="L11">IFERROR(_xlfn.STDEV.S(IF((OutputTable[GroupByKey]=OutputTable[[#This Row],[GroupByKey]]),(OutputTable[GroupByKey]=OutputTable[[#This Row],[GroupByKey]])*OutputTable[RecordedValue])),0)</f>
        <v>5.6833088953531448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7.0567600460312025</v>
      </c>
      <c r="O11" cm="1">
        <f t="array" ref="O11">MIN(IF((OutputTable[GroupByKey]=OutputTable[[#This Row],[GroupByKey]]),(OutputTable[GroupByKey]=OutputTable[[#This Row],[GroupByKey]])*OutputTable[RecordedValue]))</f>
        <v>35</v>
      </c>
      <c r="P11" cm="1">
        <f t="array" ref="P11">MAX(IF((OutputTable[GroupByKey]=OutputTable[[#This Row],[GroupByKey]]),(OutputTable[GroupByKey]=OutputTable[[#This Row],[GroupByKey]])*OutputTable[RecordedValue]))</f>
        <v>48</v>
      </c>
    </row>
    <row r="12" spans="1:16" x14ac:dyDescent="0.3">
      <c r="A12" t="s">
        <v>66</v>
      </c>
      <c r="B12" t="s">
        <v>69</v>
      </c>
      <c r="C12">
        <v>3</v>
      </c>
      <c r="D12" t="s">
        <v>90</v>
      </c>
      <c r="E12" t="s">
        <v>91</v>
      </c>
      <c r="F12" t="s">
        <v>86</v>
      </c>
      <c r="G12">
        <v>48</v>
      </c>
      <c r="H12">
        <v>0</v>
      </c>
      <c r="I12" t="str">
        <f>OutputTable[[#This Row],[ProjectName]]&amp;OutputTable[[#This Row],[Name]]&amp;OutputTable[[#This Row],[Type]]&amp;OutputTable[[#This Row],[Source]]</f>
        <v>Unnamed ProjectMachine.NumberSeizedTotal Number SeizedResource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5</v>
      </c>
      <c r="K12" cm="1">
        <f t="array" ref="K12">IFERROR(AVERAGE(IF((OutputTable[GroupByKey]=OutputTable[[#This Row],[GroupByKey]]),(OutputTable[GroupByKey]=OutputTable[[#This Row],[GroupByKey]])*OutputTable[RecordedValue])),0)</f>
        <v>42.6</v>
      </c>
      <c r="L12" cm="1">
        <f t="array" ref="L12">IFERROR(_xlfn.STDEV.S(IF((OutputTable[GroupByKey]=OutputTable[[#This Row],[GroupByKey]]),(OutputTable[GroupByKey]=OutputTable[[#This Row],[GroupByKey]])*OutputTable[RecordedValue])),0)</f>
        <v>5.8991524815010656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7.3247652561942678</v>
      </c>
      <c r="O12" cm="1">
        <f t="array" ref="O12">MIN(IF((OutputTable[GroupByKey]=OutputTable[[#This Row],[GroupByKey]]),(OutputTable[GroupByKey]=OutputTable[[#This Row],[GroupByKey]])*OutputTable[RecordedValue]))</f>
        <v>35</v>
      </c>
      <c r="P12" cm="1">
        <f t="array" ref="P12">MAX(IF((OutputTable[GroupByKey]=OutputTable[[#This Row],[GroupByKey]]),(OutputTable[GroupByKey]=OutputTable[[#This Row],[GroupByKey]])*OutputTable[RecordedValue]))</f>
        <v>48</v>
      </c>
    </row>
    <row r="13" spans="1:16" x14ac:dyDescent="0.3">
      <c r="A13" t="s">
        <v>66</v>
      </c>
      <c r="B13" t="s">
        <v>69</v>
      </c>
      <c r="C13">
        <v>3</v>
      </c>
      <c r="D13" t="s">
        <v>92</v>
      </c>
      <c r="E13" t="s">
        <v>93</v>
      </c>
      <c r="F13" t="s">
        <v>86</v>
      </c>
      <c r="G13">
        <v>1</v>
      </c>
      <c r="H13">
        <v>0</v>
      </c>
      <c r="I13" t="str">
        <f>OutputTable[[#This Row],[ProjectName]]&amp;OutputTable[[#This Row],[Name]]&amp;OutputTable[[#This Row],[Type]]&amp;OutputTable[[#This Row],[Source]]</f>
        <v>Unnamed ProjectMachine.ScheduledUtilizationScheduled UtilizationResource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5</v>
      </c>
      <c r="K13" cm="1">
        <f t="array" ref="K13">IFERROR(AVERAGE(IF((OutputTable[GroupByKey]=OutputTable[[#This Row],[GroupByKey]]),(OutputTable[GroupByKey]=OutputTable[[#This Row],[GroupByKey]])*OutputTable[RecordedValue])),0)</f>
        <v>0.99654227791339822</v>
      </c>
      <c r="L13" cm="1">
        <f t="array" ref="L13">IFERROR(_xlfn.STDEV.S(IF((OutputTable[GroupByKey]=OutputTable[[#This Row],[GroupByKey]]),(OutputTable[GroupByKey]=OutputTable[[#This Row],[GroupByKey]])*OutputTable[RecordedValue])),0)</f>
        <v>7.7317016329440397E-3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9.6001755624798672E-3</v>
      </c>
      <c r="O13" cm="1">
        <f t="array" ref="O13">MIN(IF((OutputTable[GroupByKey]=OutputTable[[#This Row],[GroupByKey]]),(OutputTable[GroupByKey]=OutputTable[[#This Row],[GroupByKey]])*OutputTable[RecordedValue]))</f>
        <v>0.982711389566991</v>
      </c>
      <c r="P13" cm="1">
        <f t="array" ref="P13">MAX(IF((OutputTable[GroupByKey]=OutputTable[[#This Row],[GroupByKey]]),(OutputTable[GroupByKey]=OutputTable[[#This Row],[GroupByKey]])*OutputTable[RecordedValue]))</f>
        <v>1</v>
      </c>
    </row>
    <row r="14" spans="1:16" x14ac:dyDescent="0.3">
      <c r="A14" t="s">
        <v>66</v>
      </c>
      <c r="B14" t="s">
        <v>69</v>
      </c>
      <c r="C14">
        <v>3</v>
      </c>
      <c r="D14" t="s">
        <v>94</v>
      </c>
      <c r="E14" t="s">
        <v>95</v>
      </c>
      <c r="F14" t="s">
        <v>77</v>
      </c>
      <c r="G14">
        <v>69</v>
      </c>
      <c r="H14">
        <v>0</v>
      </c>
      <c r="I14" t="str">
        <f>OutputTable[[#This Row],[ProjectName]]&amp;OutputTable[[#This Row],[Name]]&amp;OutputTable[[#This Row],[Type]]&amp;OutputTable[[#This Row],[Source]]</f>
        <v>Unnamed ProjectPart.NumberInNumber InEntity</v>
      </c>
      <c r="J14" cm="1">
        <f t="array" ref="J14">MAX(IF((ProjectInfoTable[ProjectName]=OutputTable[[#This Row],[ProjectName]]),(ProjectInfoTable[ProjectName]=OutputTable[[#This Row],[ProjectName]])*ProjectInfoTable[NumberOfReplications]))</f>
        <v>5</v>
      </c>
      <c r="K14" cm="1">
        <f t="array" ref="K14">IFERROR(AVERAGE(IF((OutputTable[GroupByKey]=OutputTable[[#This Row],[GroupByKey]]),(OutputTable[GroupByKey]=OutputTable[[#This Row],[GroupByKey]])*OutputTable[RecordedValue])),0)</f>
        <v>64</v>
      </c>
      <c r="L14" cm="1">
        <f t="array" ref="L14">IFERROR(_xlfn.STDEV.S(IF((OutputTable[GroupByKey]=OutputTable[[#This Row],[GroupByKey]]),(OutputTable[GroupByKey]=OutputTable[[#This Row],[GroupByKey]])*OutputTable[RecordedValue])),0)</f>
        <v>9.8488578017961039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12.228972155918482</v>
      </c>
      <c r="O14" cm="1">
        <f t="array" ref="O14">MIN(IF((OutputTable[GroupByKey]=OutputTable[[#This Row],[GroupByKey]]),(OutputTable[GroupByKey]=OutputTable[[#This Row],[GroupByKey]])*OutputTable[RecordedValue]))</f>
        <v>51</v>
      </c>
      <c r="P14" cm="1">
        <f t="array" ref="P14">MAX(IF((OutputTable[GroupByKey]=OutputTable[[#This Row],[GroupByKey]]),(OutputTable[GroupByKey]=OutputTable[[#This Row],[GroupByKey]])*OutputTable[RecordedValue]))</f>
        <v>77</v>
      </c>
    </row>
    <row r="15" spans="1:16" x14ac:dyDescent="0.3">
      <c r="A15" t="s">
        <v>66</v>
      </c>
      <c r="B15" t="s">
        <v>69</v>
      </c>
      <c r="C15">
        <v>3</v>
      </c>
      <c r="D15" t="s">
        <v>96</v>
      </c>
      <c r="E15" t="s">
        <v>97</v>
      </c>
      <c r="F15" t="s">
        <v>77</v>
      </c>
      <c r="G15">
        <v>48</v>
      </c>
      <c r="H15">
        <v>0</v>
      </c>
      <c r="I15" t="str">
        <f>OutputTable[[#This Row],[ProjectName]]&amp;OutputTable[[#This Row],[Name]]&amp;OutputTable[[#This Row],[Type]]&amp;OutputTable[[#This Row],[Source]]</f>
        <v>Unnamed ProjectPart.NumberOutNumber OutEntity</v>
      </c>
      <c r="J15" cm="1">
        <f t="array" ref="J15">MAX(IF((ProjectInfoTable[ProjectName]=OutputTable[[#This Row],[ProjectName]]),(ProjectInfoTable[ProjectName]=OutputTable[[#This Row],[ProjectName]])*ProjectInfoTable[NumberOfReplications]))</f>
        <v>5</v>
      </c>
      <c r="K15" cm="1">
        <f t="array" ref="K15">IFERROR(AVERAGE(IF((OutputTable[GroupByKey]=OutputTable[[#This Row],[GroupByKey]]),(OutputTable[GroupByKey]=OutputTable[[#This Row],[GroupByKey]])*OutputTable[RecordedValue])),0)</f>
        <v>42.4</v>
      </c>
      <c r="L15" cm="1">
        <f t="array" ref="L15">IFERROR(_xlfn.STDEV.S(IF((OutputTable[GroupByKey]=OutputTable[[#This Row],[GroupByKey]]),(OutputTable[GroupByKey]=OutputTable[[#This Row],[GroupByKey]])*OutputTable[RecordedValue])),0)</f>
        <v>5.6833088953531448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7.0567600460312025</v>
      </c>
      <c r="O15" cm="1">
        <f t="array" ref="O15">MIN(IF((OutputTable[GroupByKey]=OutputTable[[#This Row],[GroupByKey]]),(OutputTable[GroupByKey]=OutputTable[[#This Row],[GroupByKey]])*OutputTable[RecordedValue]))</f>
        <v>35</v>
      </c>
      <c r="P15" cm="1">
        <f t="array" ref="P15">MAX(IF((OutputTable[GroupByKey]=OutputTable[[#This Row],[GroupByKey]]),(OutputTable[GroupByKey]=OutputTable[[#This Row],[GroupByKey]])*OutputTable[RecordedValue]))</f>
        <v>48</v>
      </c>
    </row>
    <row r="16" spans="1:16" x14ac:dyDescent="0.3">
      <c r="A16" t="s">
        <v>66</v>
      </c>
      <c r="B16" t="s">
        <v>69</v>
      </c>
      <c r="C16">
        <v>3</v>
      </c>
      <c r="D16" t="s">
        <v>98</v>
      </c>
      <c r="E16" t="s">
        <v>97</v>
      </c>
      <c r="F16" t="s">
        <v>99</v>
      </c>
      <c r="G16">
        <v>48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</v>
      </c>
      <c r="K16" cm="1">
        <f t="array" ref="K16">IFERROR(AVERAGE(IF((OutputTable[GroupByKey]=OutputTable[[#This Row],[GroupByKey]]),(OutputTable[GroupByKey]=OutputTable[[#This Row],[GroupByKey]])*OutputTable[RecordedValue])),0)</f>
        <v>42.4</v>
      </c>
      <c r="L16" cm="1">
        <f t="array" ref="L16">IFERROR(_xlfn.STDEV.S(IF((OutputTable[GroupByKey]=OutputTable[[#This Row],[GroupByKey]]),(OutputTable[GroupByKey]=OutputTable[[#This Row],[GroupByKey]])*OutputTable[RecordedValue])),0)</f>
        <v>5.6833088953531448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7.0567600460312025</v>
      </c>
      <c r="O16" cm="1">
        <f t="array" ref="O16">MIN(IF((OutputTable[GroupByKey]=OutputTable[[#This Row],[GroupByKey]]),(OutputTable[GroupByKey]=OutputTable[[#This Row],[GroupByKey]])*OutputTable[RecordedValue]))</f>
        <v>35</v>
      </c>
      <c r="P16" cm="1">
        <f t="array" ref="P16">MAX(IF((OutputTable[GroupByKey]=OutputTable[[#This Row],[GroupByKey]]),(OutputTable[GroupByKey]=OutputTable[[#This Row],[GroupByKey]])*OutputTable[RecordedValue]))</f>
        <v>48</v>
      </c>
    </row>
    <row r="17" spans="1:16" x14ac:dyDescent="0.3">
      <c r="A17" t="s">
        <v>66</v>
      </c>
      <c r="B17" t="s">
        <v>69</v>
      </c>
      <c r="C17">
        <v>4</v>
      </c>
      <c r="D17" t="s">
        <v>90</v>
      </c>
      <c r="E17" t="s">
        <v>91</v>
      </c>
      <c r="F17" t="s">
        <v>86</v>
      </c>
      <c r="G17">
        <v>44</v>
      </c>
      <c r="H17">
        <v>0</v>
      </c>
      <c r="I17" t="str">
        <f>OutputTable[[#This Row],[ProjectName]]&amp;OutputTable[[#This Row],[Name]]&amp;OutputTable[[#This Row],[Type]]&amp;OutputTable[[#This Row],[Source]]</f>
        <v>Unnamed ProjectMachine.NumberSeizedTotal Number SeizedResource</v>
      </c>
      <c r="J17" cm="1">
        <f t="array" ref="J17">MAX(IF((ProjectInfoTable[ProjectName]=OutputTable[[#This Row],[ProjectName]]),(ProjectInfoTable[ProjectName]=OutputTable[[#This Row],[ProjectName]])*ProjectInfoTable[NumberOfReplications]))</f>
        <v>5</v>
      </c>
      <c r="K17" cm="1">
        <f t="array" ref="K17">IFERROR(AVERAGE(IF((OutputTable[GroupByKey]=OutputTable[[#This Row],[GroupByKey]]),(OutputTable[GroupByKey]=OutputTable[[#This Row],[GroupByKey]])*OutputTable[RecordedValue])),0)</f>
        <v>42.6</v>
      </c>
      <c r="L17" cm="1">
        <f t="array" ref="L17">IFERROR(_xlfn.STDEV.S(IF((OutputTable[GroupByKey]=OutputTable[[#This Row],[GroupByKey]]),(OutputTable[GroupByKey]=OutputTable[[#This Row],[GroupByKey]])*OutputTable[RecordedValue])),0)</f>
        <v>5.8991524815010656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7.3247652561942678</v>
      </c>
      <c r="O17" cm="1">
        <f t="array" ref="O17">MIN(IF((OutputTable[GroupByKey]=OutputTable[[#This Row],[GroupByKey]]),(OutputTable[GroupByKey]=OutputTable[[#This Row],[GroupByKey]])*OutputTable[RecordedValue]))</f>
        <v>35</v>
      </c>
      <c r="P17" cm="1">
        <f t="array" ref="P17">MAX(IF((OutputTable[GroupByKey]=OutputTable[[#This Row],[GroupByKey]]),(OutputTable[GroupByKey]=OutputTable[[#This Row],[GroupByKey]])*OutputTable[RecordedValue]))</f>
        <v>48</v>
      </c>
    </row>
    <row r="18" spans="1:16" x14ac:dyDescent="0.3">
      <c r="A18" t="s">
        <v>66</v>
      </c>
      <c r="B18" t="s">
        <v>69</v>
      </c>
      <c r="C18">
        <v>4</v>
      </c>
      <c r="D18" t="s">
        <v>92</v>
      </c>
      <c r="E18" t="s">
        <v>93</v>
      </c>
      <c r="F18" t="s">
        <v>86</v>
      </c>
      <c r="G18">
        <v>1</v>
      </c>
      <c r="H18">
        <v>0</v>
      </c>
      <c r="I18" t="str">
        <f>OutputTable[[#This Row],[ProjectName]]&amp;OutputTable[[#This Row],[Name]]&amp;OutputTable[[#This Row],[Type]]&amp;OutputTable[[#This Row],[Source]]</f>
        <v>Unnamed ProjectMachine.ScheduledUtilizationScheduled UtilizationResource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5</v>
      </c>
      <c r="K18" cm="1">
        <f t="array" ref="K18">IFERROR(AVERAGE(IF((OutputTable[GroupByKey]=OutputTable[[#This Row],[GroupByKey]]),(OutputTable[GroupByKey]=OutputTable[[#This Row],[GroupByKey]])*OutputTable[RecordedValue])),0)</f>
        <v>0.99654227791339822</v>
      </c>
      <c r="L18" cm="1">
        <f t="array" ref="L18">IFERROR(_xlfn.STDEV.S(IF((OutputTable[GroupByKey]=OutputTable[[#This Row],[GroupByKey]]),(OutputTable[GroupByKey]=OutputTable[[#This Row],[GroupByKey]])*OutputTable[RecordedValue])),0)</f>
        <v>7.7317016329440397E-3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9.6001755624798672E-3</v>
      </c>
      <c r="O18" cm="1">
        <f t="array" ref="O18">MIN(IF((OutputTable[GroupByKey]=OutputTable[[#This Row],[GroupByKey]]),(OutputTable[GroupByKey]=OutputTable[[#This Row],[GroupByKey]])*OutputTable[RecordedValue]))</f>
        <v>0.982711389566991</v>
      </c>
      <c r="P18" cm="1">
        <f t="array" ref="P18">MAX(IF((OutputTable[GroupByKey]=OutputTable[[#This Row],[GroupByKey]]),(OutputTable[GroupByKey]=OutputTable[[#This Row],[GroupByKey]])*OutputTable[RecordedValue]))</f>
        <v>1</v>
      </c>
    </row>
    <row r="19" spans="1:16" x14ac:dyDescent="0.3">
      <c r="A19" t="s">
        <v>66</v>
      </c>
      <c r="B19" t="s">
        <v>69</v>
      </c>
      <c r="C19">
        <v>4</v>
      </c>
      <c r="D19" t="s">
        <v>94</v>
      </c>
      <c r="E19" t="s">
        <v>95</v>
      </c>
      <c r="F19" t="s">
        <v>77</v>
      </c>
      <c r="G19">
        <v>59</v>
      </c>
      <c r="H19">
        <v>0</v>
      </c>
      <c r="I19" t="str">
        <f>OutputTable[[#This Row],[ProjectName]]&amp;OutputTable[[#This Row],[Name]]&amp;OutputTable[[#This Row],[Type]]&amp;OutputTable[[#This Row],[Source]]</f>
        <v>Unnamed ProjectPart.NumberInNumber InEntity</v>
      </c>
      <c r="J19" cm="1">
        <f t="array" ref="J19">MAX(IF((ProjectInfoTable[ProjectName]=OutputTable[[#This Row],[ProjectName]]),(ProjectInfoTable[ProjectName]=OutputTable[[#This Row],[ProjectName]])*ProjectInfoTable[NumberOfReplications]))</f>
        <v>5</v>
      </c>
      <c r="K19" cm="1">
        <f t="array" ref="K19">IFERROR(AVERAGE(IF((OutputTable[GroupByKey]=OutputTable[[#This Row],[GroupByKey]]),(OutputTable[GroupByKey]=OutputTable[[#This Row],[GroupByKey]])*OutputTable[RecordedValue])),0)</f>
        <v>64</v>
      </c>
      <c r="L19" cm="1">
        <f t="array" ref="L19">IFERROR(_xlfn.STDEV.S(IF((OutputTable[GroupByKey]=OutputTable[[#This Row],[GroupByKey]]),(OutputTable[GroupByKey]=OutputTable[[#This Row],[GroupByKey]])*OutputTable[RecordedValue])),0)</f>
        <v>9.8488578017961039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12.228972155918482</v>
      </c>
      <c r="O19" cm="1">
        <f t="array" ref="O19">MIN(IF((OutputTable[GroupByKey]=OutputTable[[#This Row],[GroupByKey]]),(OutputTable[GroupByKey]=OutputTable[[#This Row],[GroupByKey]])*OutputTable[RecordedValue]))</f>
        <v>51</v>
      </c>
      <c r="P19" cm="1">
        <f t="array" ref="P19">MAX(IF((OutputTable[GroupByKey]=OutputTable[[#This Row],[GroupByKey]]),(OutputTable[GroupByKey]=OutputTable[[#This Row],[GroupByKey]])*OutputTable[RecordedValue]))</f>
        <v>77</v>
      </c>
    </row>
    <row r="20" spans="1:16" x14ac:dyDescent="0.3">
      <c r="A20" t="s">
        <v>66</v>
      </c>
      <c r="B20" t="s">
        <v>69</v>
      </c>
      <c r="C20">
        <v>4</v>
      </c>
      <c r="D20" t="s">
        <v>96</v>
      </c>
      <c r="E20" t="s">
        <v>97</v>
      </c>
      <c r="F20" t="s">
        <v>77</v>
      </c>
      <c r="G20">
        <v>44</v>
      </c>
      <c r="H20">
        <v>0</v>
      </c>
      <c r="I20" t="str">
        <f>OutputTable[[#This Row],[ProjectName]]&amp;OutputTable[[#This Row],[Name]]&amp;OutputTable[[#This Row],[Type]]&amp;OutputTable[[#This Row],[Source]]</f>
        <v>Unnamed ProjectPart.NumberOutNumber OutEntity</v>
      </c>
      <c r="J20" cm="1">
        <f t="array" ref="J20">MAX(IF((ProjectInfoTable[ProjectName]=OutputTable[[#This Row],[ProjectName]]),(ProjectInfoTable[ProjectName]=OutputTable[[#This Row],[ProjectName]])*ProjectInfoTable[NumberOfReplications]))</f>
        <v>5</v>
      </c>
      <c r="K20" cm="1">
        <f t="array" ref="K20">IFERROR(AVERAGE(IF((OutputTable[GroupByKey]=OutputTable[[#This Row],[GroupByKey]]),(OutputTable[GroupByKey]=OutputTable[[#This Row],[GroupByKey]])*OutputTable[RecordedValue])),0)</f>
        <v>42.4</v>
      </c>
      <c r="L20" cm="1">
        <f t="array" ref="L20">IFERROR(_xlfn.STDEV.S(IF((OutputTable[GroupByKey]=OutputTable[[#This Row],[GroupByKey]]),(OutputTable[GroupByKey]=OutputTable[[#This Row],[GroupByKey]])*OutputTable[RecordedValue])),0)</f>
        <v>5.6833088953531448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7.0567600460312025</v>
      </c>
      <c r="O20" cm="1">
        <f t="array" ref="O20">MIN(IF((OutputTable[GroupByKey]=OutputTable[[#This Row],[GroupByKey]]),(OutputTable[GroupByKey]=OutputTable[[#This Row],[GroupByKey]])*OutputTable[RecordedValue]))</f>
        <v>35</v>
      </c>
      <c r="P20" cm="1">
        <f t="array" ref="P20">MAX(IF((OutputTable[GroupByKey]=OutputTable[[#This Row],[GroupByKey]]),(OutputTable[GroupByKey]=OutputTable[[#This Row],[GroupByKey]])*OutputTable[RecordedValue]))</f>
        <v>48</v>
      </c>
    </row>
    <row r="21" spans="1:16" x14ac:dyDescent="0.3">
      <c r="A21" t="s">
        <v>66</v>
      </c>
      <c r="B21" t="s">
        <v>69</v>
      </c>
      <c r="C21">
        <v>4</v>
      </c>
      <c r="D21" t="s">
        <v>98</v>
      </c>
      <c r="E21" t="s">
        <v>97</v>
      </c>
      <c r="F21" t="s">
        <v>99</v>
      </c>
      <c r="G21">
        <v>44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5</v>
      </c>
      <c r="K21" cm="1">
        <f t="array" ref="K21">IFERROR(AVERAGE(IF((OutputTable[GroupByKey]=OutputTable[[#This Row],[GroupByKey]]),(OutputTable[GroupByKey]=OutputTable[[#This Row],[GroupByKey]])*OutputTable[RecordedValue])),0)</f>
        <v>42.4</v>
      </c>
      <c r="L21" cm="1">
        <f t="array" ref="L21">IFERROR(_xlfn.STDEV.S(IF((OutputTable[GroupByKey]=OutputTable[[#This Row],[GroupByKey]]),(OutputTable[GroupByKey]=OutputTable[[#This Row],[GroupByKey]])*OutputTable[RecordedValue])),0)</f>
        <v>5.6833088953531448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7.0567600460312025</v>
      </c>
      <c r="O21" cm="1">
        <f t="array" ref="O21">MIN(IF((OutputTable[GroupByKey]=OutputTable[[#This Row],[GroupByKey]]),(OutputTable[GroupByKey]=OutputTable[[#This Row],[GroupByKey]])*OutputTable[RecordedValue]))</f>
        <v>35</v>
      </c>
      <c r="P21" cm="1">
        <f t="array" ref="P21">MAX(IF((OutputTable[GroupByKey]=OutputTable[[#This Row],[GroupByKey]]),(OutputTable[GroupByKey]=OutputTable[[#This Row],[GroupByKey]])*OutputTable[RecordedValue]))</f>
        <v>48</v>
      </c>
    </row>
    <row r="22" spans="1:16" x14ac:dyDescent="0.3">
      <c r="A22" t="s">
        <v>66</v>
      </c>
      <c r="B22" t="s">
        <v>69</v>
      </c>
      <c r="C22">
        <v>5</v>
      </c>
      <c r="D22" t="s">
        <v>90</v>
      </c>
      <c r="E22" t="s">
        <v>91</v>
      </c>
      <c r="F22" t="s">
        <v>86</v>
      </c>
      <c r="G22">
        <v>48</v>
      </c>
      <c r="H22">
        <v>0</v>
      </c>
      <c r="I22" t="str">
        <f>OutputTable[[#This Row],[ProjectName]]&amp;OutputTable[[#This Row],[Name]]&amp;OutputTable[[#This Row],[Type]]&amp;OutputTable[[#This Row],[Source]]</f>
        <v>Unnamed ProjectMachine.NumberSeizedTotal Number SeizedResource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5</v>
      </c>
      <c r="K22" cm="1">
        <f t="array" ref="K22">IFERROR(AVERAGE(IF((OutputTable[GroupByKey]=OutputTable[[#This Row],[GroupByKey]]),(OutputTable[GroupByKey]=OutputTable[[#This Row],[GroupByKey]])*OutputTable[RecordedValue])),0)</f>
        <v>42.6</v>
      </c>
      <c r="L22" cm="1">
        <f t="array" ref="L22">IFERROR(_xlfn.STDEV.S(IF((OutputTable[GroupByKey]=OutputTable[[#This Row],[GroupByKey]]),(OutputTable[GroupByKey]=OutputTable[[#This Row],[GroupByKey]])*OutputTable[RecordedValue])),0)</f>
        <v>5.8991524815010656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7.3247652561942678</v>
      </c>
      <c r="O22" cm="1">
        <f t="array" ref="O22">MIN(IF((OutputTable[GroupByKey]=OutputTable[[#This Row],[GroupByKey]]),(OutputTable[GroupByKey]=OutputTable[[#This Row],[GroupByKey]])*OutputTable[RecordedValue]))</f>
        <v>35</v>
      </c>
      <c r="P22" cm="1">
        <f t="array" ref="P22">MAX(IF((OutputTable[GroupByKey]=OutputTable[[#This Row],[GroupByKey]]),(OutputTable[GroupByKey]=OutputTable[[#This Row],[GroupByKey]])*OutputTable[RecordedValue]))</f>
        <v>48</v>
      </c>
    </row>
    <row r="23" spans="1:16" x14ac:dyDescent="0.3">
      <c r="A23" t="s">
        <v>66</v>
      </c>
      <c r="B23" t="s">
        <v>69</v>
      </c>
      <c r="C23">
        <v>5</v>
      </c>
      <c r="D23" t="s">
        <v>92</v>
      </c>
      <c r="E23" t="s">
        <v>93</v>
      </c>
      <c r="F23" t="s">
        <v>86</v>
      </c>
      <c r="G23">
        <v>0.982711389566991</v>
      </c>
      <c r="H23">
        <v>0</v>
      </c>
      <c r="I23" t="str">
        <f>OutputTable[[#This Row],[ProjectName]]&amp;OutputTable[[#This Row],[Name]]&amp;OutputTable[[#This Row],[Type]]&amp;OutputTable[[#This Row],[Source]]</f>
        <v>Unnamed ProjectMachine.ScheduledUtilizationScheduled UtilizationResource</v>
      </c>
      <c r="J23" cm="1">
        <f t="array" ref="J23">MAX(IF((ProjectInfoTable[ProjectName]=OutputTable[[#This Row],[ProjectName]]),(ProjectInfoTable[ProjectName]=OutputTable[[#This Row],[ProjectName]])*ProjectInfoTable[NumberOfReplications]))</f>
        <v>5</v>
      </c>
      <c r="K23" cm="1">
        <f t="array" ref="K23">IFERROR(AVERAGE(IF((OutputTable[GroupByKey]=OutputTable[[#This Row],[GroupByKey]]),(OutputTable[GroupByKey]=OutputTable[[#This Row],[GroupByKey]])*OutputTable[RecordedValue])),0)</f>
        <v>0.99654227791339822</v>
      </c>
      <c r="L23" cm="1">
        <f t="array" ref="L23">IFERROR(_xlfn.STDEV.S(IF((OutputTable[GroupByKey]=OutputTable[[#This Row],[GroupByKey]]),(OutputTable[GroupByKey]=OutputTable[[#This Row],[GroupByKey]])*OutputTable[RecordedValue])),0)</f>
        <v>7.7317016329440397E-3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9.6001755624798672E-3</v>
      </c>
      <c r="O23" cm="1">
        <f t="array" ref="O23">MIN(IF((OutputTable[GroupByKey]=OutputTable[[#This Row],[GroupByKey]]),(OutputTable[GroupByKey]=OutputTable[[#This Row],[GroupByKey]])*OutputTable[RecordedValue]))</f>
        <v>0.982711389566991</v>
      </c>
      <c r="P23" cm="1">
        <f t="array" ref="P23">MAX(IF((OutputTable[GroupByKey]=OutputTable[[#This Row],[GroupByKey]]),(OutputTable[GroupByKey]=OutputTable[[#This Row],[GroupByKey]])*OutputTable[RecordedValue]))</f>
        <v>1</v>
      </c>
    </row>
    <row r="24" spans="1:16" x14ac:dyDescent="0.3">
      <c r="A24" t="s">
        <v>66</v>
      </c>
      <c r="B24" t="s">
        <v>69</v>
      </c>
      <c r="C24">
        <v>5</v>
      </c>
      <c r="D24" t="s">
        <v>94</v>
      </c>
      <c r="E24" t="s">
        <v>95</v>
      </c>
      <c r="F24" t="s">
        <v>77</v>
      </c>
      <c r="G24">
        <v>77</v>
      </c>
      <c r="H24">
        <v>0</v>
      </c>
      <c r="I24" t="str">
        <f>OutputTable[[#This Row],[ProjectName]]&amp;OutputTable[[#This Row],[Name]]&amp;OutputTable[[#This Row],[Type]]&amp;OutputTable[[#This Row],[Source]]</f>
        <v>Unnamed ProjectPart.NumberInNumber InEntity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5</v>
      </c>
      <c r="K24" cm="1">
        <f t="array" ref="K24">IFERROR(AVERAGE(IF((OutputTable[GroupByKey]=OutputTable[[#This Row],[GroupByKey]]),(OutputTable[GroupByKey]=OutputTable[[#This Row],[GroupByKey]])*OutputTable[RecordedValue])),0)</f>
        <v>64</v>
      </c>
      <c r="L24" cm="1">
        <f t="array" ref="L24">IFERROR(_xlfn.STDEV.S(IF((OutputTable[GroupByKey]=OutputTable[[#This Row],[GroupByKey]]),(OutputTable[GroupByKey]=OutputTable[[#This Row],[GroupByKey]])*OutputTable[RecordedValue])),0)</f>
        <v>9.8488578017961039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12.228972155918482</v>
      </c>
      <c r="O24" cm="1">
        <f t="array" ref="O24">MIN(IF((OutputTable[GroupByKey]=OutputTable[[#This Row],[GroupByKey]]),(OutputTable[GroupByKey]=OutputTable[[#This Row],[GroupByKey]])*OutputTable[RecordedValue]))</f>
        <v>51</v>
      </c>
      <c r="P24" cm="1">
        <f t="array" ref="P24">MAX(IF((OutputTable[GroupByKey]=OutputTable[[#This Row],[GroupByKey]]),(OutputTable[GroupByKey]=OutputTable[[#This Row],[GroupByKey]])*OutputTable[RecordedValue]))</f>
        <v>77</v>
      </c>
    </row>
    <row r="25" spans="1:16" x14ac:dyDescent="0.3">
      <c r="A25" t="s">
        <v>66</v>
      </c>
      <c r="B25" t="s">
        <v>69</v>
      </c>
      <c r="C25">
        <v>5</v>
      </c>
      <c r="D25" t="s">
        <v>96</v>
      </c>
      <c r="E25" t="s">
        <v>97</v>
      </c>
      <c r="F25" t="s">
        <v>77</v>
      </c>
      <c r="G25">
        <v>47</v>
      </c>
      <c r="H25">
        <v>0</v>
      </c>
      <c r="I25" t="str">
        <f>OutputTable[[#This Row],[ProjectName]]&amp;OutputTable[[#This Row],[Name]]&amp;OutputTable[[#This Row],[Type]]&amp;OutputTable[[#This Row],[Source]]</f>
        <v>Unnamed ProjectPart.NumberOutNumber OutEntity</v>
      </c>
      <c r="J25" cm="1">
        <f t="array" ref="J25">MAX(IF((ProjectInfoTable[ProjectName]=OutputTable[[#This Row],[ProjectName]]),(ProjectInfoTable[ProjectName]=OutputTable[[#This Row],[ProjectName]])*ProjectInfoTable[NumberOfReplications]))</f>
        <v>5</v>
      </c>
      <c r="K25" cm="1">
        <f t="array" ref="K25">IFERROR(AVERAGE(IF((OutputTable[GroupByKey]=OutputTable[[#This Row],[GroupByKey]]),(OutputTable[GroupByKey]=OutputTable[[#This Row],[GroupByKey]])*OutputTable[RecordedValue])),0)</f>
        <v>42.4</v>
      </c>
      <c r="L25" cm="1">
        <f t="array" ref="L25">IFERROR(_xlfn.STDEV.S(IF((OutputTable[GroupByKey]=OutputTable[[#This Row],[GroupByKey]]),(OutputTable[GroupByKey]=OutputTable[[#This Row],[GroupByKey]])*OutputTable[RecordedValue])),0)</f>
        <v>5.6833088953531448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7.0567600460312025</v>
      </c>
      <c r="O25" cm="1">
        <f t="array" ref="O25">MIN(IF((OutputTable[GroupByKey]=OutputTable[[#This Row],[GroupByKey]]),(OutputTable[GroupByKey]=OutputTable[[#This Row],[GroupByKey]])*OutputTable[RecordedValue]))</f>
        <v>35</v>
      </c>
      <c r="P25" cm="1">
        <f t="array" ref="P25">MAX(IF((OutputTable[GroupByKey]=OutputTable[[#This Row],[GroupByKey]]),(OutputTable[GroupByKey]=OutputTable[[#This Row],[GroupByKey]])*OutputTable[RecordedValue]))</f>
        <v>48</v>
      </c>
    </row>
    <row r="26" spans="1:16" x14ac:dyDescent="0.3">
      <c r="A26" t="s">
        <v>66</v>
      </c>
      <c r="B26" t="s">
        <v>69</v>
      </c>
      <c r="C26">
        <v>5</v>
      </c>
      <c r="D26" t="s">
        <v>98</v>
      </c>
      <c r="E26" t="s">
        <v>97</v>
      </c>
      <c r="F26" t="s">
        <v>99</v>
      </c>
      <c r="G26">
        <v>47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5</v>
      </c>
      <c r="K26" cm="1">
        <f t="array" ref="K26">IFERROR(AVERAGE(IF((OutputTable[GroupByKey]=OutputTable[[#This Row],[GroupByKey]]),(OutputTable[GroupByKey]=OutputTable[[#This Row],[GroupByKey]])*OutputTable[RecordedValue])),0)</f>
        <v>42.4</v>
      </c>
      <c r="L26" cm="1">
        <f t="array" ref="L26">IFERROR(_xlfn.STDEV.S(IF((OutputTable[GroupByKey]=OutputTable[[#This Row],[GroupByKey]]),(OutputTable[GroupByKey]=OutputTable[[#This Row],[GroupByKey]])*OutputTable[RecordedValue])),0)</f>
        <v>5.6833088953531448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7.0567600460312025</v>
      </c>
      <c r="O26" cm="1">
        <f t="array" ref="O26">MIN(IF((OutputTable[GroupByKey]=OutputTable[[#This Row],[GroupByKey]]),(OutputTable[GroupByKey]=OutputTable[[#This Row],[GroupByKey]])*OutputTable[RecordedValue]))</f>
        <v>35</v>
      </c>
      <c r="P26" cm="1">
        <f t="array" ref="P26">MAX(IF((OutputTable[GroupByKey]=OutputTable[[#This Row],[GroupByKey]]),(OutputTable[GroupByKey]=OutputTable[[#This Row],[GroupByKey]])*OutputTable[RecordedValue]))</f>
        <v>48</v>
      </c>
    </row>
    <row r="27" spans="1:16" x14ac:dyDescent="0.3"/>
    <row r="28" spans="1:16" x14ac:dyDescent="0.3"/>
    <row r="29" spans="1:16" x14ac:dyDescent="0.3"/>
    <row r="30" spans="1:16" x14ac:dyDescent="0.3"/>
    <row r="31" spans="1:16" x14ac:dyDescent="0.3"/>
  </sheetData>
  <phoneticPr fontId="2" type="noConversion"/>
  <conditionalFormatting sqref="I2:P26">
    <cfRule type="expression" dxfId="3" priority="2">
      <formula>MOD(ROW(),2)=0</formula>
    </cfRule>
  </conditionalFormatting>
  <conditionalFormatting sqref="N2:N2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76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5.4140625" bestFit="1" customWidth="1"/>
    <col min="12" max="12" width="13.5" bestFit="1" customWidth="1"/>
    <col min="13" max="13" width="28.9140625" bestFit="1" customWidth="1"/>
    <col min="14" max="14" width="29.9140625" bestFit="1" customWidth="1"/>
    <col min="15" max="15" width="16.4140625" bestFit="1" customWidth="1"/>
    <col min="16" max="16" width="27.9140625" bestFit="1" customWidth="1"/>
    <col min="17" max="17" width="28.91406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9140625" bestFit="1" customWidth="1"/>
    <col min="22" max="22" width="31.9140625" bestFit="1" customWidth="1"/>
    <col min="23" max="23" width="32.0820312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2" spans="1:17" x14ac:dyDescent="0.3"/>
    <row r="3" spans="1:17" x14ac:dyDescent="0.3"/>
    <row r="4" spans="1:17" x14ac:dyDescent="0.3"/>
    <row r="5" spans="1:17" x14ac:dyDescent="0.3"/>
    <row r="6" spans="1:17" x14ac:dyDescent="0.3"/>
    <row r="7" spans="1:17" x14ac:dyDescent="0.3"/>
    <row r="8" spans="1:17" x14ac:dyDescent="0.3"/>
    <row r="9" spans="1:17" x14ac:dyDescent="0.3"/>
    <row r="10" spans="1:17" x14ac:dyDescent="0.3"/>
    <row r="11" spans="1:17" x14ac:dyDescent="0.3"/>
    <row r="12" spans="1:17" x14ac:dyDescent="0.3"/>
    <row r="13" spans="1:17" x14ac:dyDescent="0.3"/>
    <row r="14" spans="1:17" x14ac:dyDescent="0.3"/>
    <row r="15" spans="1:17" x14ac:dyDescent="0.3"/>
    <row r="16" spans="1:17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32" spans="2: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  <row r="76" x14ac:dyDescent="0.3"/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Shiwei Pan</cp:lastModifiedBy>
  <cp:lastPrinted>2022-03-22T10:33:10Z</cp:lastPrinted>
  <dcterms:created xsi:type="dcterms:W3CDTF">2020-06-29T21:30:31Z</dcterms:created>
  <dcterms:modified xsi:type="dcterms:W3CDTF">2025-04-26T09:21:33Z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