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"/>
    </mc:Choice>
  </mc:AlternateContent>
  <xr:revisionPtr revIDLastSave="0" documentId="13_ncr:1_{C34FD6CF-60E3-4939-AE7A-60927ED436BA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K4" i="20" s="1" a="1"/>
  <c r="K4" i="20" s="1"/>
  <c r="I6" i="20"/>
  <c r="I7" i="20"/>
  <c r="I8" i="20"/>
  <c r="I9" i="20"/>
  <c r="I10" i="20"/>
  <c r="I11" i="20"/>
  <c r="L11" i="20" s="1" a="1"/>
  <c r="L11" i="20" s="1"/>
  <c r="I12" i="20"/>
  <c r="I13" i="20"/>
  <c r="I14" i="20"/>
  <c r="I15" i="20"/>
  <c r="I16" i="20"/>
  <c r="I17" i="20"/>
  <c r="K21" i="20" s="1" a="1"/>
  <c r="K21" i="20" s="1"/>
  <c r="I18" i="20"/>
  <c r="I19" i="20"/>
  <c r="I20" i="20"/>
  <c r="K20" i="20" s="1" a="1"/>
  <c r="K20" i="20" s="1"/>
  <c r="I21" i="20"/>
  <c r="I22" i="20"/>
  <c r="I23" i="20"/>
  <c r="I24" i="20"/>
  <c r="I25" i="20"/>
  <c r="I26" i="20"/>
  <c r="J2" i="20" a="1"/>
  <c r="J2" i="20" s="1"/>
  <c r="J3" i="20" a="1"/>
  <c r="J3" i="20"/>
  <c r="J4" i="20" a="1"/>
  <c r="J4" i="20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/>
  <c r="J20" i="20" a="1"/>
  <c r="J20" i="20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" i="18"/>
  <c r="M3" i="18"/>
  <c r="M4" i="18"/>
  <c r="O4" i="18" s="1" a="1"/>
  <c r="O4" i="18" s="1"/>
  <c r="M5" i="18"/>
  <c r="P3" i="18" s="1" a="1"/>
  <c r="P3" i="18" s="1"/>
  <c r="M6" i="18"/>
  <c r="M7" i="18"/>
  <c r="P11" i="18" s="1" a="1"/>
  <c r="P11" i="18" s="1"/>
  <c r="M8" i="18"/>
  <c r="M9" i="18"/>
  <c r="M10" i="18"/>
  <c r="M11" i="18"/>
  <c r="M12" i="18"/>
  <c r="O12" i="18" s="1" a="1"/>
  <c r="O12" i="18" s="1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S25" i="18" s="1" a="1"/>
  <c r="S25" i="18" s="1"/>
  <c r="M26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/>
  <c r="N12" i="18" a="1"/>
  <c r="N12" i="18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/>
  <c r="N20" i="18" a="1"/>
  <c r="N20" i="18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L7" i="17"/>
  <c r="L8" i="17"/>
  <c r="L9" i="17"/>
  <c r="L10" i="17"/>
  <c r="L11" i="17"/>
  <c r="L12" i="17"/>
  <c r="L2" i="17"/>
  <c r="L13" i="17"/>
  <c r="L14" i="17"/>
  <c r="L15" i="17"/>
  <c r="L16" i="17"/>
  <c r="L17" i="17"/>
  <c r="L18" i="17"/>
  <c r="L3" i="17"/>
  <c r="L19" i="17"/>
  <c r="L20" i="17"/>
  <c r="L21" i="17"/>
  <c r="L22" i="17"/>
  <c r="L23" i="17"/>
  <c r="L24" i="17"/>
  <c r="L4" i="17"/>
  <c r="L25" i="17"/>
  <c r="L26" i="17"/>
  <c r="L27" i="17"/>
  <c r="L28" i="17"/>
  <c r="L29" i="17"/>
  <c r="L30" i="17"/>
  <c r="L5" i="17"/>
  <c r="L31" i="17"/>
  <c r="L32" i="17"/>
  <c r="L33" i="17"/>
  <c r="L34" i="17"/>
  <c r="L35" i="17"/>
  <c r="L36" i="17"/>
  <c r="L6" i="17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2" i="17" a="1"/>
  <c r="M2" i="17" s="1"/>
  <c r="M13" i="17" a="1"/>
  <c r="M13" i="17" s="1"/>
  <c r="M14" i="17" a="1"/>
  <c r="M14" i="17" s="1"/>
  <c r="M15" i="17" a="1"/>
  <c r="M15" i="17" s="1"/>
  <c r="M16" i="17" a="1"/>
  <c r="M16" i="17"/>
  <c r="M17" i="17" a="1"/>
  <c r="M17" i="17" s="1"/>
  <c r="M18" i="17" a="1"/>
  <c r="M18" i="17" s="1"/>
  <c r="M3" i="17" a="1"/>
  <c r="M3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4" i="17" a="1"/>
  <c r="M4" i="17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/>
  <c r="M5" i="17" a="1"/>
  <c r="M5" i="17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6" i="17" a="1"/>
  <c r="M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2" i="17" a="1"/>
  <c r="P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3" i="17" a="1"/>
  <c r="P3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/>
  <c r="P24" i="17" a="1"/>
  <c r="P24" i="17" s="1"/>
  <c r="P4" i="17" a="1"/>
  <c r="P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5" i="17" a="1"/>
  <c r="P5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6" i="17" a="1"/>
  <c r="P6" i="17"/>
  <c r="G2" i="16"/>
  <c r="L19" i="20" l="1" a="1"/>
  <c r="L19" i="20" s="1"/>
  <c r="K5" i="20" a="1"/>
  <c r="K5" i="20" s="1"/>
  <c r="N19" i="20"/>
  <c r="O13" i="20" a="1"/>
  <c r="O13" i="20" s="1"/>
  <c r="L3" i="20" a="1"/>
  <c r="L3" i="20" s="1"/>
  <c r="N3" i="20" s="1"/>
  <c r="K12" i="20" a="1"/>
  <c r="K12" i="20" s="1"/>
  <c r="K24" i="20" a="1"/>
  <c r="K24" i="20" s="1"/>
  <c r="K8" i="20" a="1"/>
  <c r="K8" i="20" s="1"/>
  <c r="L7" i="20" a="1"/>
  <c r="L7" i="20" s="1"/>
  <c r="N11" i="20"/>
  <c r="O5" i="20" a="1"/>
  <c r="O5" i="20" s="1"/>
  <c r="P20" i="20" a="1"/>
  <c r="P20" i="20" s="1"/>
  <c r="O21" i="20" a="1"/>
  <c r="O21" i="20" s="1"/>
  <c r="P4" i="20" a="1"/>
  <c r="P4" i="20" s="1"/>
  <c r="P12" i="20" a="1"/>
  <c r="P12" i="20" s="1"/>
  <c r="N7" i="20"/>
  <c r="P11" i="20" a="1"/>
  <c r="P11" i="20" s="1"/>
  <c r="P3" i="20" a="1"/>
  <c r="P3" i="20" s="1"/>
  <c r="O20" i="20" a="1"/>
  <c r="O20" i="20" s="1"/>
  <c r="O12" i="20" a="1"/>
  <c r="O12" i="20" s="1"/>
  <c r="O4" i="20" a="1"/>
  <c r="O4" i="20" s="1"/>
  <c r="L26" i="20" a="1"/>
  <c r="L26" i="20" s="1"/>
  <c r="N26" i="20" s="1"/>
  <c r="L18" i="20" a="1"/>
  <c r="L18" i="20" s="1"/>
  <c r="N18" i="20" s="1"/>
  <c r="L10" i="20" a="1"/>
  <c r="L10" i="20" s="1"/>
  <c r="N10" i="20" s="1"/>
  <c r="L2" i="20" a="1"/>
  <c r="L2" i="20" s="1"/>
  <c r="N2" i="20" s="1"/>
  <c r="K19" i="20" a="1"/>
  <c r="K19" i="20" s="1"/>
  <c r="K11" i="20" a="1"/>
  <c r="K11" i="20" s="1"/>
  <c r="K3" i="20" a="1"/>
  <c r="K3" i="20" s="1"/>
  <c r="P10" i="20" a="1"/>
  <c r="P10" i="20" s="1"/>
  <c r="P2" i="20" a="1"/>
  <c r="P2" i="20" s="1"/>
  <c r="O19" i="20" a="1"/>
  <c r="O19" i="20" s="1"/>
  <c r="O11" i="20" a="1"/>
  <c r="O11" i="20" s="1"/>
  <c r="O3" i="20" a="1"/>
  <c r="O3" i="20" s="1"/>
  <c r="P19" i="20" a="1"/>
  <c r="P19" i="20" s="1"/>
  <c r="L9" i="20" a="1"/>
  <c r="L9" i="20" s="1"/>
  <c r="N9" i="20" s="1"/>
  <c r="K26" i="20" a="1"/>
  <c r="K26" i="20" s="1"/>
  <c r="K18" i="20" a="1"/>
  <c r="K18" i="20" s="1"/>
  <c r="K10" i="20" a="1"/>
  <c r="K10" i="20" s="1"/>
  <c r="K2" i="20" a="1"/>
  <c r="K2" i="20" s="1"/>
  <c r="P18" i="20" a="1"/>
  <c r="P18" i="20" s="1"/>
  <c r="P9" i="20" a="1"/>
  <c r="P9" i="20" s="1"/>
  <c r="O26" i="20" a="1"/>
  <c r="O26" i="20" s="1"/>
  <c r="O18" i="20" a="1"/>
  <c r="O18" i="20" s="1"/>
  <c r="O10" i="20" a="1"/>
  <c r="O10" i="20" s="1"/>
  <c r="O2" i="20" a="1"/>
  <c r="O2" i="20" s="1"/>
  <c r="P26" i="20" a="1"/>
  <c r="P26" i="20" s="1"/>
  <c r="L24" i="20" a="1"/>
  <c r="L24" i="20" s="1"/>
  <c r="N24" i="20" s="1"/>
  <c r="L16" i="20" a="1"/>
  <c r="L16" i="20" s="1"/>
  <c r="N16" i="20" s="1"/>
  <c r="L8" i="20" a="1"/>
  <c r="L8" i="20" s="1"/>
  <c r="N8" i="20" s="1"/>
  <c r="K25" i="20" a="1"/>
  <c r="K25" i="20" s="1"/>
  <c r="K17" i="20" a="1"/>
  <c r="K17" i="20" s="1"/>
  <c r="K9" i="20" a="1"/>
  <c r="K9" i="20" s="1"/>
  <c r="P25" i="20" a="1"/>
  <c r="P25" i="20" s="1"/>
  <c r="P16" i="20" a="1"/>
  <c r="P16" i="20" s="1"/>
  <c r="P8" i="20" a="1"/>
  <c r="P8" i="20" s="1"/>
  <c r="O25" i="20" a="1"/>
  <c r="O25" i="20" s="1"/>
  <c r="O17" i="20" a="1"/>
  <c r="O17" i="20" s="1"/>
  <c r="O9" i="20" a="1"/>
  <c r="O9" i="20" s="1"/>
  <c r="L25" i="20" a="1"/>
  <c r="L25" i="20" s="1"/>
  <c r="N25" i="20" s="1"/>
  <c r="L17" i="20" a="1"/>
  <c r="L17" i="20" s="1"/>
  <c r="N17" i="20" s="1"/>
  <c r="P17" i="20" a="1"/>
  <c r="P17" i="20" s="1"/>
  <c r="P24" i="20" a="1"/>
  <c r="P24" i="20" s="1"/>
  <c r="L23" i="20" a="1"/>
  <c r="L23" i="20" s="1"/>
  <c r="N23" i="20" s="1"/>
  <c r="L15" i="20" a="1"/>
  <c r="L15" i="20" s="1"/>
  <c r="N15" i="20" s="1"/>
  <c r="K16" i="20" a="1"/>
  <c r="K16" i="20" s="1"/>
  <c r="P23" i="20" a="1"/>
  <c r="P23" i="20" s="1"/>
  <c r="P15" i="20" a="1"/>
  <c r="P15" i="20" s="1"/>
  <c r="P7" i="20" a="1"/>
  <c r="P7" i="20" s="1"/>
  <c r="O24" i="20" a="1"/>
  <c r="O24" i="20" s="1"/>
  <c r="O16" i="20" a="1"/>
  <c r="O16" i="20" s="1"/>
  <c r="O8" i="20" a="1"/>
  <c r="O8" i="20" s="1"/>
  <c r="L22" i="20" a="1"/>
  <c r="L22" i="20" s="1"/>
  <c r="N22" i="20" s="1"/>
  <c r="L14" i="20" a="1"/>
  <c r="L14" i="20" s="1"/>
  <c r="N14" i="20" s="1"/>
  <c r="L6" i="20" a="1"/>
  <c r="L6" i="20" s="1"/>
  <c r="N6" i="20" s="1"/>
  <c r="K23" i="20" a="1"/>
  <c r="K23" i="20" s="1"/>
  <c r="K15" i="20" a="1"/>
  <c r="K15" i="20" s="1"/>
  <c r="K7" i="20" a="1"/>
  <c r="K7" i="20" s="1"/>
  <c r="P22" i="20" a="1"/>
  <c r="P22" i="20" s="1"/>
  <c r="P14" i="20" a="1"/>
  <c r="P14" i="20" s="1"/>
  <c r="P6" i="20" a="1"/>
  <c r="P6" i="20" s="1"/>
  <c r="O23" i="20" a="1"/>
  <c r="O23" i="20" s="1"/>
  <c r="O15" i="20" a="1"/>
  <c r="O15" i="20" s="1"/>
  <c r="O7" i="20" a="1"/>
  <c r="O7" i="20" s="1"/>
  <c r="L13" i="20" a="1"/>
  <c r="L13" i="20" s="1"/>
  <c r="N13" i="20" s="1"/>
  <c r="L5" i="20" a="1"/>
  <c r="L5" i="20" s="1"/>
  <c r="N5" i="20" s="1"/>
  <c r="K22" i="20" a="1"/>
  <c r="K22" i="20" s="1"/>
  <c r="K14" i="20" a="1"/>
  <c r="K14" i="20" s="1"/>
  <c r="K6" i="20" a="1"/>
  <c r="K6" i="20" s="1"/>
  <c r="L21" i="20" a="1"/>
  <c r="L21" i="20" s="1"/>
  <c r="N21" i="20" s="1"/>
  <c r="P5" i="20" a="1"/>
  <c r="P5" i="20" s="1"/>
  <c r="O22" i="20" a="1"/>
  <c r="O22" i="20" s="1"/>
  <c r="O14" i="20" a="1"/>
  <c r="O14" i="20" s="1"/>
  <c r="O6" i="20" a="1"/>
  <c r="O6" i="20" s="1"/>
  <c r="P21" i="20" a="1"/>
  <c r="P21" i="20" s="1"/>
  <c r="L20" i="20" a="1"/>
  <c r="L20" i="20" s="1"/>
  <c r="N20" i="20" s="1"/>
  <c r="L4" i="20" a="1"/>
  <c r="L4" i="20" s="1"/>
  <c r="N4" i="20" s="1"/>
  <c r="K13" i="20" a="1"/>
  <c r="K13" i="20" s="1"/>
  <c r="P13" i="20" a="1"/>
  <c r="P13" i="20" s="1"/>
  <c r="L12" i="20" a="1"/>
  <c r="L12" i="20" s="1"/>
  <c r="N12" i="20" s="1"/>
  <c r="O13" i="18" a="1"/>
  <c r="O13" i="18" s="1"/>
  <c r="P19" i="18" a="1"/>
  <c r="P19" i="18" s="1"/>
  <c r="R3" i="18"/>
  <c r="U3" i="18" s="1"/>
  <c r="P22" i="18" a="1"/>
  <c r="P22" i="18" s="1"/>
  <c r="O20" i="18" a="1"/>
  <c r="O20" i="18" s="1"/>
  <c r="T20" i="18" a="1"/>
  <c r="T20" i="18" s="1"/>
  <c r="S6" i="18" a="1"/>
  <c r="S6" i="18" s="1"/>
  <c r="S7" i="18" a="1"/>
  <c r="S7" i="18" s="1"/>
  <c r="R11" i="18"/>
  <c r="U11" i="18" s="1"/>
  <c r="S5" i="18" a="1"/>
  <c r="S5" i="18" s="1"/>
  <c r="T24" i="18" a="1"/>
  <c r="T24" i="18" s="1"/>
  <c r="S21" i="18" a="1"/>
  <c r="S21" i="18" s="1"/>
  <c r="R19" i="18"/>
  <c r="U19" i="18" s="1"/>
  <c r="S13" i="18" a="1"/>
  <c r="S13" i="18" s="1"/>
  <c r="T4" i="18" a="1"/>
  <c r="T4" i="18" s="1"/>
  <c r="R15" i="18"/>
  <c r="U15" i="18" s="1"/>
  <c r="R22" i="18"/>
  <c r="U22" i="18" s="1"/>
  <c r="T19" i="18" a="1"/>
  <c r="T19" i="18" s="1"/>
  <c r="P18" i="18" a="1"/>
  <c r="P18" i="18" s="1"/>
  <c r="R18" i="18" s="1"/>
  <c r="U18" i="18" s="1"/>
  <c r="P10" i="18" a="1"/>
  <c r="P10" i="18" s="1"/>
  <c r="R10" i="18" s="1"/>
  <c r="U10" i="18" s="1"/>
  <c r="P2" i="18" a="1"/>
  <c r="P2" i="18" s="1"/>
  <c r="R2" i="18" s="1"/>
  <c r="U2" i="18" s="1"/>
  <c r="O19" i="18" a="1"/>
  <c r="O19" i="18" s="1"/>
  <c r="O11" i="18" a="1"/>
  <c r="O11" i="18" s="1"/>
  <c r="O3" i="18" a="1"/>
  <c r="O3" i="18" s="1"/>
  <c r="T3" i="18" a="1"/>
  <c r="T3" i="18" s="1"/>
  <c r="T18" i="18" a="1"/>
  <c r="T18" i="18" s="1"/>
  <c r="T2" i="18" a="1"/>
  <c r="T2" i="18" s="1"/>
  <c r="S19" i="18" a="1"/>
  <c r="S19" i="18" s="1"/>
  <c r="S11" i="18" a="1"/>
  <c r="S11" i="18" s="1"/>
  <c r="S3" i="18" a="1"/>
  <c r="S3" i="18" s="1"/>
  <c r="S4" i="18" a="1"/>
  <c r="S4" i="18" s="1"/>
  <c r="P9" i="18" a="1"/>
  <c r="P9" i="18" s="1"/>
  <c r="R9" i="18" s="1"/>
  <c r="U9" i="18" s="1"/>
  <c r="O18" i="18" a="1"/>
  <c r="O18" i="18" s="1"/>
  <c r="O10" i="18" a="1"/>
  <c r="O10" i="18" s="1"/>
  <c r="O2" i="18" a="1"/>
  <c r="O2" i="18" s="1"/>
  <c r="S12" i="18" a="1"/>
  <c r="S12" i="18" s="1"/>
  <c r="T10" i="18" a="1"/>
  <c r="T10" i="18" s="1"/>
  <c r="T9" i="18" a="1"/>
  <c r="T9" i="18" s="1"/>
  <c r="S10" i="18" a="1"/>
  <c r="S10" i="18" s="1"/>
  <c r="S2" i="18" a="1"/>
  <c r="S2" i="18" s="1"/>
  <c r="T11" i="18" a="1"/>
  <c r="T11" i="18" s="1"/>
  <c r="P26" i="18" a="1"/>
  <c r="P26" i="18" s="1"/>
  <c r="R26" i="18" s="1"/>
  <c r="U26" i="18" s="1"/>
  <c r="P25" i="18" a="1"/>
  <c r="P25" i="18" s="1"/>
  <c r="R25" i="18" s="1"/>
  <c r="U25" i="18" s="1"/>
  <c r="P17" i="18" a="1"/>
  <c r="P17" i="18" s="1"/>
  <c r="R17" i="18" s="1"/>
  <c r="U17" i="18" s="1"/>
  <c r="T25" i="18" a="1"/>
  <c r="T25" i="18" s="1"/>
  <c r="T17" i="18" a="1"/>
  <c r="T17" i="18" s="1"/>
  <c r="S26" i="18" a="1"/>
  <c r="S26" i="18" s="1"/>
  <c r="P24" i="18" a="1"/>
  <c r="P24" i="18" s="1"/>
  <c r="R24" i="18" s="1"/>
  <c r="U24" i="18" s="1"/>
  <c r="P16" i="18" a="1"/>
  <c r="P16" i="18" s="1"/>
  <c r="R16" i="18" s="1"/>
  <c r="U16" i="18" s="1"/>
  <c r="P8" i="18" a="1"/>
  <c r="P8" i="18" s="1"/>
  <c r="R8" i="18" s="1"/>
  <c r="U8" i="18" s="1"/>
  <c r="O25" i="18" a="1"/>
  <c r="O25" i="18" s="1"/>
  <c r="O17" i="18" a="1"/>
  <c r="O17" i="18" s="1"/>
  <c r="O9" i="18" a="1"/>
  <c r="O9" i="18" s="1"/>
  <c r="S20" i="18" a="1"/>
  <c r="S20" i="18" s="1"/>
  <c r="T26" i="18" a="1"/>
  <c r="T26" i="18" s="1"/>
  <c r="O26" i="18" a="1"/>
  <c r="O26" i="18" s="1"/>
  <c r="S18" i="18" a="1"/>
  <c r="S18" i="18" s="1"/>
  <c r="T16" i="18" a="1"/>
  <c r="T16" i="18" s="1"/>
  <c r="T8" i="18" a="1"/>
  <c r="T8" i="18" s="1"/>
  <c r="S17" i="18" a="1"/>
  <c r="S17" i="18" s="1"/>
  <c r="S9" i="18" a="1"/>
  <c r="S9" i="18" s="1"/>
  <c r="P23" i="18" a="1"/>
  <c r="P23" i="18" s="1"/>
  <c r="R23" i="18" s="1"/>
  <c r="U23" i="18" s="1"/>
  <c r="P15" i="18" a="1"/>
  <c r="P15" i="18" s="1"/>
  <c r="P7" i="18" a="1"/>
  <c r="P7" i="18" s="1"/>
  <c r="R7" i="18" s="1"/>
  <c r="U7" i="18" s="1"/>
  <c r="O24" i="18" a="1"/>
  <c r="O24" i="18" s="1"/>
  <c r="O16" i="18" a="1"/>
  <c r="O16" i="18" s="1"/>
  <c r="O8" i="18" a="1"/>
  <c r="O8" i="18" s="1"/>
  <c r="T23" i="18" a="1"/>
  <c r="T23" i="18" s="1"/>
  <c r="T15" i="18" a="1"/>
  <c r="T15" i="18" s="1"/>
  <c r="T7" i="18" a="1"/>
  <c r="T7" i="18" s="1"/>
  <c r="S24" i="18" a="1"/>
  <c r="S24" i="18" s="1"/>
  <c r="S16" i="18" a="1"/>
  <c r="S16" i="18" s="1"/>
  <c r="S8" i="18" a="1"/>
  <c r="S8" i="18" s="1"/>
  <c r="P14" i="18" a="1"/>
  <c r="P14" i="18" s="1"/>
  <c r="R14" i="18" s="1"/>
  <c r="U14" i="18" s="1"/>
  <c r="P6" i="18" a="1"/>
  <c r="P6" i="18" s="1"/>
  <c r="R6" i="18" s="1"/>
  <c r="U6" i="18" s="1"/>
  <c r="O23" i="18" a="1"/>
  <c r="O23" i="18" s="1"/>
  <c r="O15" i="18" a="1"/>
  <c r="O15" i="18" s="1"/>
  <c r="O7" i="18" a="1"/>
  <c r="O7" i="18" s="1"/>
  <c r="T22" i="18" a="1"/>
  <c r="T22" i="18" s="1"/>
  <c r="T14" i="18" a="1"/>
  <c r="T14" i="18" s="1"/>
  <c r="T6" i="18" a="1"/>
  <c r="T6" i="18" s="1"/>
  <c r="S23" i="18" a="1"/>
  <c r="S23" i="18" s="1"/>
  <c r="S15" i="18" a="1"/>
  <c r="S15" i="18" s="1"/>
  <c r="P21" i="18" a="1"/>
  <c r="P21" i="18" s="1"/>
  <c r="R21" i="18" s="1"/>
  <c r="U21" i="18" s="1"/>
  <c r="P5" i="18" a="1"/>
  <c r="P5" i="18" s="1"/>
  <c r="R5" i="18" s="1"/>
  <c r="U5" i="18" s="1"/>
  <c r="O22" i="18" a="1"/>
  <c r="O22" i="18" s="1"/>
  <c r="O14" i="18" a="1"/>
  <c r="O14" i="18" s="1"/>
  <c r="O6" i="18" a="1"/>
  <c r="O6" i="18" s="1"/>
  <c r="T5" i="18" a="1"/>
  <c r="T5" i="18" s="1"/>
  <c r="S22" i="18" a="1"/>
  <c r="S22" i="18" s="1"/>
  <c r="S14" i="18" a="1"/>
  <c r="S14" i="18" s="1"/>
  <c r="T21" i="18" a="1"/>
  <c r="T21" i="18" s="1"/>
  <c r="P20" i="18" a="1"/>
  <c r="P20" i="18" s="1"/>
  <c r="R20" i="18" s="1"/>
  <c r="U20" i="18" s="1"/>
  <c r="O21" i="18" a="1"/>
  <c r="O21" i="18" s="1"/>
  <c r="O5" i="18" a="1"/>
  <c r="O5" i="18" s="1"/>
  <c r="P13" i="18" a="1"/>
  <c r="P13" i="18" s="1"/>
  <c r="R13" i="18" s="1"/>
  <c r="U13" i="18" s="1"/>
  <c r="T13" i="18" a="1"/>
  <c r="T13" i="18" s="1"/>
  <c r="P12" i="18" a="1"/>
  <c r="P12" i="18" s="1"/>
  <c r="R12" i="18" s="1"/>
  <c r="U12" i="18" s="1"/>
  <c r="P4" i="18" a="1"/>
  <c r="P4" i="18" s="1"/>
  <c r="R4" i="18" s="1"/>
  <c r="U4" i="18" s="1"/>
  <c r="T12" i="18" a="1"/>
  <c r="T12" i="18" s="1"/>
  <c r="R27" i="17" a="1"/>
  <c r="R27" i="17" s="1"/>
  <c r="V31" i="17" a="1"/>
  <c r="V31" i="17" s="1"/>
  <c r="V20" i="17" a="1"/>
  <c r="V20" i="17" s="1"/>
  <c r="N15" i="17" a="1"/>
  <c r="N15" i="17" s="1"/>
  <c r="V6" i="17" a="1"/>
  <c r="V6" i="17" s="1"/>
  <c r="N8" i="17" a="1"/>
  <c r="N8" i="17" s="1"/>
  <c r="O2" i="17" a="1"/>
  <c r="O2" i="17" s="1"/>
  <c r="X33" i="17" a="1"/>
  <c r="X33" i="17" s="1"/>
  <c r="Y33" i="17" s="1"/>
  <c r="U14" i="17" a="1"/>
  <c r="U14" i="17" s="1"/>
  <c r="T22" i="17" a="1"/>
  <c r="T22" i="17" s="1"/>
  <c r="V5" i="17" a="1"/>
  <c r="V5" i="17" s="1"/>
  <c r="S4" i="17" a="1"/>
  <c r="S4" i="17" s="1"/>
  <c r="S17" i="17" a="1"/>
  <c r="S17" i="17" s="1"/>
  <c r="R26" i="17" a="1"/>
  <c r="R26" i="17" s="1"/>
  <c r="X26" i="17" a="1"/>
  <c r="X26" i="17" s="1"/>
  <c r="Y26" i="17" s="1"/>
  <c r="V24" i="17" a="1"/>
  <c r="V24" i="17" s="1"/>
  <c r="V9" i="17" a="1"/>
  <c r="V9" i="17" s="1"/>
  <c r="U19" i="17" a="1"/>
  <c r="U19" i="17" s="1"/>
  <c r="S34" i="17" a="1"/>
  <c r="S34" i="17" s="1"/>
  <c r="N34" i="17" a="1"/>
  <c r="N34" i="17" s="1"/>
  <c r="T34" i="17" a="1"/>
  <c r="T34" i="17" s="1"/>
  <c r="O34" i="17" a="1"/>
  <c r="O34" i="17" s="1"/>
  <c r="X34" i="17" a="1"/>
  <c r="X34" i="17" s="1"/>
  <c r="Y34" i="17" s="1"/>
  <c r="Q34" i="17" s="1"/>
  <c r="W34" i="17" s="1"/>
  <c r="S20" i="17" a="1"/>
  <c r="S20" i="17" s="1"/>
  <c r="N20" i="17" a="1"/>
  <c r="N20" i="17" s="1"/>
  <c r="T20" i="17" a="1"/>
  <c r="T20" i="17" s="1"/>
  <c r="O20" i="17" a="1"/>
  <c r="O20" i="17" s="1"/>
  <c r="X20" i="17" a="1"/>
  <c r="X20" i="17" s="1"/>
  <c r="Y20" i="17" s="1"/>
  <c r="U20" i="17" a="1"/>
  <c r="U20" i="17" s="1"/>
  <c r="O35" i="17" a="1"/>
  <c r="O35" i="17" s="1"/>
  <c r="X35" i="17" a="1"/>
  <c r="X35" i="17" s="1"/>
  <c r="Y35" i="17" s="1"/>
  <c r="Q35" i="17" s="1"/>
  <c r="W35" i="17" s="1"/>
  <c r="U6" i="17" a="1"/>
  <c r="U6" i="17" s="1"/>
  <c r="T28" i="17" a="1"/>
  <c r="T28" i="17" s="1"/>
  <c r="S5" i="17" a="1"/>
  <c r="S5" i="17" s="1"/>
  <c r="R33" i="17" a="1"/>
  <c r="R33" i="17" s="1"/>
  <c r="O14" i="17" a="1"/>
  <c r="O14" i="17" s="1"/>
  <c r="N17" i="17" a="1"/>
  <c r="N17" i="17" s="1"/>
  <c r="X2" i="17" a="1"/>
  <c r="X2" i="17" s="1"/>
  <c r="U26" i="17" a="1"/>
  <c r="U26" i="17" s="1"/>
  <c r="X14" i="17" a="1"/>
  <c r="X14" i="17" s="1"/>
  <c r="Y14" i="17" s="1"/>
  <c r="X25" i="17" a="1"/>
  <c r="X25" i="17" s="1"/>
  <c r="Y25" i="17" s="1"/>
  <c r="V23" i="17" a="1"/>
  <c r="V23" i="17" s="1"/>
  <c r="U35" i="17" a="1"/>
  <c r="U35" i="17" s="1"/>
  <c r="U3" i="17" a="1"/>
  <c r="U3" i="17" s="1"/>
  <c r="V34" i="17" a="1"/>
  <c r="V34" i="17" s="1"/>
  <c r="X32" i="17" a="1"/>
  <c r="X32" i="17" s="1"/>
  <c r="Y32" i="17" s="1"/>
  <c r="U32" i="17" a="1"/>
  <c r="U32" i="17" s="1"/>
  <c r="R20" i="17" a="1"/>
  <c r="R20" i="17" s="1"/>
  <c r="R8" i="17" a="1"/>
  <c r="R8" i="17" s="1"/>
  <c r="U33" i="17" a="1"/>
  <c r="U33" i="17" s="1"/>
  <c r="N10" i="17" a="1"/>
  <c r="N10" i="17" s="1"/>
  <c r="R30" i="17" a="1"/>
  <c r="R30" i="17" s="1"/>
  <c r="O30" i="17" a="1"/>
  <c r="O30" i="17" s="1"/>
  <c r="S30" i="17" a="1"/>
  <c r="S30" i="17" s="1"/>
  <c r="N30" i="17" a="1"/>
  <c r="N30" i="17" s="1"/>
  <c r="T30" i="17" a="1"/>
  <c r="T30" i="17" s="1"/>
  <c r="R15" i="17" a="1"/>
  <c r="R15" i="17" s="1"/>
  <c r="R22" i="17" a="1"/>
  <c r="R22" i="17" s="1"/>
  <c r="R29" i="17" a="1"/>
  <c r="R29" i="17" s="1"/>
  <c r="R36" i="17" a="1"/>
  <c r="R36" i="17" s="1"/>
  <c r="S2" i="17" a="1"/>
  <c r="S2" i="17" s="1"/>
  <c r="S19" i="17" a="1"/>
  <c r="S19" i="17" s="1"/>
  <c r="S26" i="17" a="1"/>
  <c r="S26" i="17" s="1"/>
  <c r="S33" i="17" a="1"/>
  <c r="S33" i="17" s="1"/>
  <c r="T10" i="17" a="1"/>
  <c r="T10" i="17" s="1"/>
  <c r="T24" i="17" a="1"/>
  <c r="T24" i="17" s="1"/>
  <c r="O15" i="17" a="1"/>
  <c r="O15" i="17" s="1"/>
  <c r="O22" i="17" a="1"/>
  <c r="O22" i="17" s="1"/>
  <c r="O29" i="17" a="1"/>
  <c r="O29" i="17" s="1"/>
  <c r="O36" i="17" a="1"/>
  <c r="O36" i="17" s="1"/>
  <c r="X8" i="17" a="1"/>
  <c r="X8" i="17" s="1"/>
  <c r="Y8" i="17" s="1"/>
  <c r="X15" i="17" a="1"/>
  <c r="X15" i="17" s="1"/>
  <c r="Y15" i="17" s="1"/>
  <c r="Q15" i="17" s="1"/>
  <c r="X22" i="17" a="1"/>
  <c r="X22" i="17" s="1"/>
  <c r="Y22" i="17" s="1"/>
  <c r="X29" i="17" a="1"/>
  <c r="X29" i="17" s="1"/>
  <c r="Y29" i="17" s="1"/>
  <c r="Q29" i="17" s="1"/>
  <c r="W29" i="17" s="1"/>
  <c r="X36" i="17" a="1"/>
  <c r="X36" i="17" s="1"/>
  <c r="Y36" i="17" s="1"/>
  <c r="U15" i="17" a="1"/>
  <c r="U15" i="17" s="1"/>
  <c r="U29" i="17" a="1"/>
  <c r="U29" i="17" s="1"/>
  <c r="V2" i="17" a="1"/>
  <c r="V2" i="17" s="1"/>
  <c r="V19" i="17" a="1"/>
  <c r="V19" i="17" s="1"/>
  <c r="V33" i="17" a="1"/>
  <c r="V33" i="17" s="1"/>
  <c r="R16" i="17" a="1"/>
  <c r="R16" i="17" s="1"/>
  <c r="R23" i="17" a="1"/>
  <c r="R23" i="17" s="1"/>
  <c r="R6" i="17" a="1"/>
  <c r="R6" i="17" s="1"/>
  <c r="S13" i="17" a="1"/>
  <c r="S13" i="17" s="1"/>
  <c r="S27" i="17" a="1"/>
  <c r="S27" i="17" s="1"/>
  <c r="T11" i="17" a="1"/>
  <c r="T11" i="17" s="1"/>
  <c r="T4" i="17" a="1"/>
  <c r="T4" i="17" s="1"/>
  <c r="U8" i="17" a="1"/>
  <c r="U8" i="17" s="1"/>
  <c r="U22" i="17" a="1"/>
  <c r="U22" i="17" s="1"/>
  <c r="U36" i="17" a="1"/>
  <c r="U36" i="17" s="1"/>
  <c r="V26" i="17" a="1"/>
  <c r="V26" i="17" s="1"/>
  <c r="N3" i="17" a="1"/>
  <c r="N3" i="17" s="1"/>
  <c r="N25" i="17" a="1"/>
  <c r="N25" i="17" s="1"/>
  <c r="N32" i="17" a="1"/>
  <c r="N32" i="17" s="1"/>
  <c r="O9" i="17" a="1"/>
  <c r="O9" i="17" s="1"/>
  <c r="O16" i="17" a="1"/>
  <c r="O16" i="17" s="1"/>
  <c r="O23" i="17" a="1"/>
  <c r="O23" i="17" s="1"/>
  <c r="O6" i="17" a="1"/>
  <c r="O6" i="17" s="1"/>
  <c r="X9" i="17" a="1"/>
  <c r="X9" i="17" s="1"/>
  <c r="Y9" i="17" s="1"/>
  <c r="X16" i="17" a="1"/>
  <c r="X16" i="17" s="1"/>
  <c r="Y16" i="17" s="1"/>
  <c r="X23" i="17" a="1"/>
  <c r="X23" i="17" s="1"/>
  <c r="Y23" i="17" s="1"/>
  <c r="S28" i="17" a="1"/>
  <c r="S28" i="17" s="1"/>
  <c r="S35" i="17" a="1"/>
  <c r="S35" i="17" s="1"/>
  <c r="T12" i="17" a="1"/>
  <c r="T12" i="17" s="1"/>
  <c r="T3" i="17" a="1"/>
  <c r="T3" i="17" s="1"/>
  <c r="T25" i="17" a="1"/>
  <c r="T25" i="17" s="1"/>
  <c r="T32" i="17" a="1"/>
  <c r="T32" i="17" s="1"/>
  <c r="U9" i="17" a="1"/>
  <c r="U9" i="17" s="1"/>
  <c r="U16" i="17" a="1"/>
  <c r="U16" i="17" s="1"/>
  <c r="U23" i="17" a="1"/>
  <c r="U23" i="17" s="1"/>
  <c r="N26" i="17" a="1"/>
  <c r="N26" i="17" s="1"/>
  <c r="N33" i="17" a="1"/>
  <c r="N33" i="17" s="1"/>
  <c r="O10" i="17" a="1"/>
  <c r="O10" i="17" s="1"/>
  <c r="O24" i="17" a="1"/>
  <c r="O24" i="17" s="1"/>
  <c r="X10" i="17" a="1"/>
  <c r="X10" i="17" s="1"/>
  <c r="Y10" i="17" s="1"/>
  <c r="X24" i="17" a="1"/>
  <c r="X24" i="17" s="1"/>
  <c r="Y24" i="17" s="1"/>
  <c r="Q24" i="17" s="1"/>
  <c r="W24" i="17" s="1"/>
  <c r="S8" i="17" a="1"/>
  <c r="S8" i="17" s="1"/>
  <c r="S15" i="17" a="1"/>
  <c r="S15" i="17" s="1"/>
  <c r="S22" i="17" a="1"/>
  <c r="S22" i="17" s="1"/>
  <c r="S29" i="17" a="1"/>
  <c r="S29" i="17" s="1"/>
  <c r="S36" i="17" a="1"/>
  <c r="S36" i="17" s="1"/>
  <c r="T2" i="17" a="1"/>
  <c r="T2" i="17" s="1"/>
  <c r="T19" i="17" a="1"/>
  <c r="T19" i="17" s="1"/>
  <c r="T26" i="17" a="1"/>
  <c r="T26" i="17" s="1"/>
  <c r="T33" i="17" a="1"/>
  <c r="T33" i="17" s="1"/>
  <c r="U10" i="17" a="1"/>
  <c r="U10" i="17" s="1"/>
  <c r="U24" i="17" a="1"/>
  <c r="U24" i="17" s="1"/>
  <c r="V7" i="17" a="1"/>
  <c r="V7" i="17" s="1"/>
  <c r="V14" i="17" a="1"/>
  <c r="V14" i="17" s="1"/>
  <c r="V21" i="17" a="1"/>
  <c r="V21" i="17" s="1"/>
  <c r="V28" i="17" a="1"/>
  <c r="V28" i="17" s="1"/>
  <c r="V35" i="17" a="1"/>
  <c r="V35" i="17" s="1"/>
  <c r="N27" i="17" a="1"/>
  <c r="N27" i="17" s="1"/>
  <c r="O11" i="17" a="1"/>
  <c r="O11" i="17" s="1"/>
  <c r="O4" i="17" a="1"/>
  <c r="O4" i="17" s="1"/>
  <c r="X11" i="17" a="1"/>
  <c r="X11" i="17" s="1"/>
  <c r="X4" i="17" a="1"/>
  <c r="X4" i="17" s="1"/>
  <c r="Y4" i="17" s="1"/>
  <c r="S16" i="17" a="1"/>
  <c r="S16" i="17" s="1"/>
  <c r="S23" i="17" a="1"/>
  <c r="S23" i="17" s="1"/>
  <c r="S6" i="17" a="1"/>
  <c r="S6" i="17" s="1"/>
  <c r="T27" i="17" a="1"/>
  <c r="T27" i="17" s="1"/>
  <c r="U11" i="17" a="1"/>
  <c r="U11" i="17" s="1"/>
  <c r="V8" i="17" a="1"/>
  <c r="V8" i="17" s="1"/>
  <c r="V22" i="17" a="1"/>
  <c r="V22" i="17" s="1"/>
  <c r="V29" i="17" a="1"/>
  <c r="V29" i="17" s="1"/>
  <c r="O32" i="17" a="1"/>
  <c r="O32" i="17" s="1"/>
  <c r="R12" i="17" a="1"/>
  <c r="R12" i="17" s="1"/>
  <c r="R3" i="17" a="1"/>
  <c r="R3" i="17" s="1"/>
  <c r="R25" i="17" a="1"/>
  <c r="R25" i="17" s="1"/>
  <c r="R32" i="17" a="1"/>
  <c r="R32" i="17" s="1"/>
  <c r="S9" i="17" a="1"/>
  <c r="S9" i="17" s="1"/>
  <c r="T13" i="17" a="1"/>
  <c r="T13" i="17" s="1"/>
  <c r="U4" i="17" a="1"/>
  <c r="U4" i="17" s="1"/>
  <c r="V15" i="17" a="1"/>
  <c r="V15" i="17" s="1"/>
  <c r="V36" i="17" a="1"/>
  <c r="V36" i="17" s="1"/>
  <c r="N7" i="17" a="1"/>
  <c r="N7" i="17" s="1"/>
  <c r="N14" i="17" a="1"/>
  <c r="N14" i="17" s="1"/>
  <c r="N21" i="17" a="1"/>
  <c r="N21" i="17" s="1"/>
  <c r="N28" i="17" a="1"/>
  <c r="N28" i="17" s="1"/>
  <c r="N35" i="17" a="1"/>
  <c r="N35" i="17" s="1"/>
  <c r="O12" i="17" a="1"/>
  <c r="O12" i="17" s="1"/>
  <c r="O3" i="17" a="1"/>
  <c r="O3" i="17" s="1"/>
  <c r="O25" i="17" a="1"/>
  <c r="O25" i="17" s="1"/>
  <c r="N16" i="17" a="1"/>
  <c r="N16" i="17" s="1"/>
  <c r="N23" i="17" a="1"/>
  <c r="N23" i="17" s="1"/>
  <c r="N6" i="17" a="1"/>
  <c r="N6" i="17" s="1"/>
  <c r="O13" i="17" a="1"/>
  <c r="O13" i="17" s="1"/>
  <c r="O27" i="17" a="1"/>
  <c r="O27" i="17" s="1"/>
  <c r="X13" i="17" a="1"/>
  <c r="X13" i="17" s="1"/>
  <c r="Y13" i="17" s="1"/>
  <c r="Q13" i="17" s="1"/>
  <c r="W13" i="17" s="1"/>
  <c r="X27" i="17" a="1"/>
  <c r="X27" i="17" s="1"/>
  <c r="Y27" i="17" s="1"/>
  <c r="S32" i="17" a="1"/>
  <c r="S32" i="17" s="1"/>
  <c r="T16" i="17" a="1"/>
  <c r="T16" i="17" s="1"/>
  <c r="T23" i="17" a="1"/>
  <c r="T23" i="17" s="1"/>
  <c r="U13" i="17" a="1"/>
  <c r="U13" i="17" s="1"/>
  <c r="R14" i="17" a="1"/>
  <c r="R14" i="17" s="1"/>
  <c r="R21" i="17" a="1"/>
  <c r="R21" i="17" s="1"/>
  <c r="R28" i="17" a="1"/>
  <c r="R28" i="17" s="1"/>
  <c r="R35" i="17" a="1"/>
  <c r="R35" i="17" s="1"/>
  <c r="S12" i="17" a="1"/>
  <c r="S12" i="17" s="1"/>
  <c r="S3" i="17" a="1"/>
  <c r="S3" i="17" s="1"/>
  <c r="S25" i="17" a="1"/>
  <c r="S25" i="17" s="1"/>
  <c r="T9" i="17" a="1"/>
  <c r="T9" i="17" s="1"/>
  <c r="T6" i="17" a="1"/>
  <c r="T6" i="17" s="1"/>
  <c r="U27" i="17" a="1"/>
  <c r="U27" i="17" s="1"/>
  <c r="V32" i="17" a="1"/>
  <c r="V32" i="17" s="1"/>
  <c r="V18" i="17" a="1"/>
  <c r="V18" i="17" s="1"/>
  <c r="T15" i="17" a="1"/>
  <c r="T15" i="17" s="1"/>
  <c r="S18" i="17" a="1"/>
  <c r="S18" i="17" s="1"/>
  <c r="N36" i="17" a="1"/>
  <c r="N36" i="17" s="1"/>
  <c r="Y2" i="17"/>
  <c r="Q2" i="17" s="1"/>
  <c r="W2" i="17" s="1"/>
  <c r="X5" i="17" a="1"/>
  <c r="X5" i="17" s="1"/>
  <c r="Y5" i="17" s="1"/>
  <c r="U30" i="17" a="1"/>
  <c r="U30" i="17" s="1"/>
  <c r="U28" i="17" a="1"/>
  <c r="U28" i="17" s="1"/>
  <c r="T14" i="17" a="1"/>
  <c r="T14" i="17" s="1"/>
  <c r="R19" i="17" a="1"/>
  <c r="R19" i="17" s="1"/>
  <c r="O28" i="17" a="1"/>
  <c r="O28" i="17" s="1"/>
  <c r="N5" i="17" a="1"/>
  <c r="N5" i="17" s="1"/>
  <c r="U34" i="17" a="1"/>
  <c r="U34" i="17" s="1"/>
  <c r="T17" i="17" a="1"/>
  <c r="T17" i="17" s="1"/>
  <c r="R17" i="17" a="1"/>
  <c r="R17" i="17" s="1"/>
  <c r="O17" i="17" a="1"/>
  <c r="O17" i="17" s="1"/>
  <c r="X17" i="17" a="1"/>
  <c r="X17" i="17" s="1"/>
  <c r="Y17" i="17" s="1"/>
  <c r="U17" i="17" a="1"/>
  <c r="U17" i="17" s="1"/>
  <c r="O7" i="17" a="1"/>
  <c r="O7" i="17" s="1"/>
  <c r="X12" i="17" a="1"/>
  <c r="X12" i="17" s="1"/>
  <c r="Y12" i="17" s="1"/>
  <c r="X21" i="17" a="1"/>
  <c r="X21" i="17" s="1"/>
  <c r="Y21" i="17" s="1"/>
  <c r="V17" i="17" a="1"/>
  <c r="V17" i="17" s="1"/>
  <c r="U12" i="17" a="1"/>
  <c r="U12" i="17" s="1"/>
  <c r="O33" i="17" a="1"/>
  <c r="O33" i="17" s="1"/>
  <c r="Q33" i="17" s="1"/>
  <c r="W33" i="17" s="1"/>
  <c r="U7" i="17" a="1"/>
  <c r="U7" i="17" s="1"/>
  <c r="V16" i="17" a="1"/>
  <c r="V16" i="17" s="1"/>
  <c r="Y11" i="17"/>
  <c r="Q11" i="17" s="1"/>
  <c r="W11" i="17" s="1"/>
  <c r="X30" i="17" a="1"/>
  <c r="X30" i="17" s="1"/>
  <c r="Y30" i="17" s="1"/>
  <c r="Q30" i="17" s="1"/>
  <c r="W30" i="17" s="1"/>
  <c r="X19" i="17" a="1"/>
  <c r="X19" i="17" s="1"/>
  <c r="Y19" i="17" s="1"/>
  <c r="V13" i="17" a="1"/>
  <c r="V13" i="17" s="1"/>
  <c r="T36" i="17" a="1"/>
  <c r="T36" i="17" s="1"/>
  <c r="T21" i="17" a="1"/>
  <c r="T21" i="17" s="1"/>
  <c r="T8" i="17" a="1"/>
  <c r="T8" i="17" s="1"/>
  <c r="S11" i="17" a="1"/>
  <c r="S11" i="17" s="1"/>
  <c r="R13" i="17" a="1"/>
  <c r="R13" i="17" s="1"/>
  <c r="O26" i="17" a="1"/>
  <c r="O26" i="17" s="1"/>
  <c r="N29" i="17" a="1"/>
  <c r="N29" i="17" s="1"/>
  <c r="V3" i="17" a="1"/>
  <c r="V3" i="17" s="1"/>
  <c r="R5" i="17" a="1"/>
  <c r="R5" i="17" s="1"/>
  <c r="O5" i="17" a="1"/>
  <c r="O5" i="17" s="1"/>
  <c r="U5" i="17" a="1"/>
  <c r="U5" i="17" s="1"/>
  <c r="X3" i="17" a="1"/>
  <c r="X3" i="17" s="1"/>
  <c r="Y3" i="17" s="1"/>
  <c r="Q3" i="17" s="1"/>
  <c r="W3" i="17" s="1"/>
  <c r="V27" i="17" a="1"/>
  <c r="V27" i="17" s="1"/>
  <c r="T35" i="17" a="1"/>
  <c r="T35" i="17" s="1"/>
  <c r="R24" i="17" a="1"/>
  <c r="R24" i="17" s="1"/>
  <c r="R10" i="17" a="1"/>
  <c r="R10" i="17" s="1"/>
  <c r="V12" i="17" a="1"/>
  <c r="V12" i="17" s="1"/>
  <c r="U25" i="17" a="1"/>
  <c r="U25" i="17" s="1"/>
  <c r="T5" i="17" a="1"/>
  <c r="T5" i="17" s="1"/>
  <c r="R2" i="17" a="1"/>
  <c r="R2" i="17" s="1"/>
  <c r="N24" i="17" a="1"/>
  <c r="N24" i="17" s="1"/>
  <c r="S21" i="17" a="1"/>
  <c r="S21" i="17" s="1"/>
  <c r="U2" i="17" a="1"/>
  <c r="U2" i="17" s="1"/>
  <c r="X7" i="17" a="1"/>
  <c r="X7" i="17" s="1"/>
  <c r="Y7" i="17" s="1"/>
  <c r="Q7" i="17" s="1"/>
  <c r="W7" i="17" s="1"/>
  <c r="V30" i="17" a="1"/>
  <c r="V30" i="17" s="1"/>
  <c r="V25" i="17" a="1"/>
  <c r="V25" i="17" s="1"/>
  <c r="T7" i="17" a="1"/>
  <c r="T7" i="17" s="1"/>
  <c r="S10" i="17" a="1"/>
  <c r="S10" i="17" s="1"/>
  <c r="O21" i="17" a="1"/>
  <c r="O21" i="17" s="1"/>
  <c r="X6" i="17" a="1"/>
  <c r="X6" i="17" s="1"/>
  <c r="Y6" i="17" s="1"/>
  <c r="Q6" i="17" s="1"/>
  <c r="W6" i="17" s="1"/>
  <c r="V10" i="17" a="1"/>
  <c r="V10" i="17" s="1"/>
  <c r="U21" i="17" a="1"/>
  <c r="U21" i="17" s="1"/>
  <c r="N31" i="17" a="1"/>
  <c r="N31" i="17" s="1"/>
  <c r="T31" i="17" a="1"/>
  <c r="T31" i="17" s="1"/>
  <c r="R31" i="17" a="1"/>
  <c r="R31" i="17" s="1"/>
  <c r="O31" i="17" a="1"/>
  <c r="O31" i="17" s="1"/>
  <c r="X31" i="17" a="1"/>
  <c r="X31" i="17" s="1"/>
  <c r="Y31" i="17" s="1"/>
  <c r="U31" i="17" a="1"/>
  <c r="U31" i="17" s="1"/>
  <c r="N18" i="17" a="1"/>
  <c r="N18" i="17" s="1"/>
  <c r="T18" i="17" a="1"/>
  <c r="T18" i="17" s="1"/>
  <c r="R18" i="17" a="1"/>
  <c r="R18" i="17" s="1"/>
  <c r="O18" i="17" a="1"/>
  <c r="O18" i="17" s="1"/>
  <c r="X18" i="17" a="1"/>
  <c r="X18" i="17" s="1"/>
  <c r="Y18" i="17" s="1"/>
  <c r="U18" i="17" a="1"/>
  <c r="U18" i="17" s="1"/>
  <c r="S24" i="17" a="1"/>
  <c r="S24" i="17" s="1"/>
  <c r="X28" i="17" a="1"/>
  <c r="X28" i="17" s="1"/>
  <c r="Y28" i="17" s="1"/>
  <c r="V11" i="17" a="1"/>
  <c r="V11" i="17" s="1"/>
  <c r="V4" i="17" a="1"/>
  <c r="V4" i="17" s="1"/>
  <c r="T29" i="17" a="1"/>
  <c r="T29" i="17" s="1"/>
  <c r="S31" i="17" a="1"/>
  <c r="S31" i="17" s="1"/>
  <c r="R34" i="17" a="1"/>
  <c r="R34" i="17" s="1"/>
  <c r="O19" i="17" a="1"/>
  <c r="O19" i="17" s="1"/>
  <c r="N22" i="17" a="1"/>
  <c r="N22" i="17" s="1"/>
  <c r="W15" i="17"/>
  <c r="N11" i="17" a="1"/>
  <c r="N11" i="17" s="1"/>
  <c r="R7" i="17" a="1"/>
  <c r="R7" i="17" s="1"/>
  <c r="N9" i="17" a="1"/>
  <c r="N9" i="17" s="1"/>
  <c r="N13" i="17" a="1"/>
  <c r="N13" i="17" s="1"/>
  <c r="R4" i="17" a="1"/>
  <c r="R4" i="17" s="1"/>
  <c r="R11" i="17" a="1"/>
  <c r="R11" i="17" s="1"/>
  <c r="N19" i="17" a="1"/>
  <c r="N19" i="17" s="1"/>
  <c r="N2" i="17" a="1"/>
  <c r="N2" i="17" s="1"/>
  <c r="S14" i="17" a="1"/>
  <c r="S14" i="17" s="1"/>
  <c r="S7" i="17" a="1"/>
  <c r="S7" i="17" s="1"/>
  <c r="N12" i="17" a="1"/>
  <c r="N12" i="17" s="1"/>
  <c r="R9" i="17" a="1"/>
  <c r="R9" i="17" s="1"/>
  <c r="O8" i="17" a="1"/>
  <c r="O8" i="17" s="1"/>
  <c r="N4" i="17" a="1"/>
  <c r="N4" i="17" s="1"/>
  <c r="Q36" i="17" l="1"/>
  <c r="W36" i="17" s="1"/>
  <c r="Q4" i="17"/>
  <c r="W4" i="17" s="1"/>
  <c r="Q16" i="17"/>
  <c r="W16" i="17" s="1"/>
  <c r="Q10" i="17"/>
  <c r="W10" i="17" s="1"/>
  <c r="Q9" i="17"/>
  <c r="W9" i="17" s="1"/>
  <c r="Q18" i="17"/>
  <c r="W18" i="17" s="1"/>
  <c r="Q5" i="17"/>
  <c r="W5" i="17" s="1"/>
  <c r="Q26" i="17"/>
  <c r="W26" i="17" s="1"/>
  <c r="Q21" i="17"/>
  <c r="W21" i="17" s="1"/>
  <c r="Q32" i="17"/>
  <c r="W32" i="17" s="1"/>
  <c r="Q12" i="17"/>
  <c r="W12" i="17" s="1"/>
  <c r="Q31" i="17"/>
  <c r="W31" i="17" s="1"/>
  <c r="Q20" i="17"/>
  <c r="W20" i="17" s="1"/>
  <c r="Q17" i="17"/>
  <c r="W17" i="17" s="1"/>
  <c r="Q27" i="17"/>
  <c r="W27" i="17" s="1"/>
  <c r="Q22" i="17"/>
  <c r="W22" i="17" s="1"/>
  <c r="Q14" i="17"/>
  <c r="W14" i="17" s="1"/>
  <c r="Q19" i="17"/>
  <c r="W19" i="17" s="1"/>
  <c r="Q28" i="17"/>
  <c r="W28" i="17" s="1"/>
  <c r="Q8" i="17"/>
  <c r="W8" i="17" s="1"/>
  <c r="Q25" i="17"/>
  <c r="W25" i="17" s="1"/>
  <c r="Q23" i="17"/>
  <c r="W2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mm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mm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mm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mm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mm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mm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<sst xmlns="http://schemas.openxmlformats.org/spreadsheetml/2006/main" count="637" uniqueCount="99">
  <si>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</si>
  <si>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</si>
  <si>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</si>
  <si>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</si>
  <si>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</si>
  <si>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</si>
  <si>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</si>
  <si>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</si>
  <si>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</si>
  <si>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</si>
  <si>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</si>
  <si>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</si>
  <si>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</si>
  <si>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</si>
  <si>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</si>
  <si>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</si>
  <si>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</si>
  <si>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</si>
  <si>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</si>
  <si>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</si>
  <si>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</si>
  <si>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</si>
  <si>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</si>
  <si>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</si>
  <si>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</si>
  <si>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</si>
  <si>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</si>
  <si>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</si>
  <si>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</si>
  <si>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</si>
  <si>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</si>
  <si>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</si>
  <si>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</si>
  <si>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</si>
  <si>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</si>
  <si>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</si>
  <si>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</si>
  <si>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</si>
  <si>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</si>
  <si>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</si>
  <si>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</si>
  <si>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</si>
  <si>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</si>
  <si>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</si>
  <si>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</si>
  <si>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</si>
  <si>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</si>
  <si>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</si>
  <si>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</si>
  <si>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</si>
  <si>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</si>
  <si>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</si>
  <si>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</si>
  <si>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</si>
  <si>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</si>
  <si>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</si>
  <si>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</si>
  <si>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</si>
  <si>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</si>
  <si>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</si>
  <si>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</si>
  <si>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</si>
  <si>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</si>
  <si>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</si>
  <si>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</si>
  <si>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</si>
  <si>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</si>
  <si>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</si>
  <si>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E:\programming\Data-Science\model\production\Arena\MM1.p</t>
  </si>
  <si>
    <t>2025-04-25 19:58:02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</si>
  <si>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</si>
  <si>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</si>
  <si>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</si>
  <si>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</si>
  <si>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</si>
  <si>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</si>
  <si>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</si>
  <si>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</si>
  <si>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drilling.Queue</t>
  </si>
  <si>
    <t>Waiting Time</t>
  </si>
  <si>
    <t>Queue</t>
  </si>
  <si>
    <t>Machine</t>
  </si>
  <si>
    <t>Instantaneous Utilization</t>
  </si>
  <si>
    <t>Resource</t>
  </si>
  <si>
    <t>Number Busy</t>
  </si>
  <si>
    <t>Number Scheduled</t>
  </si>
  <si>
    <t>WIP</t>
  </si>
  <si>
    <t>Number Waiting</t>
  </si>
  <si>
    <t>Machine.NumberSeized</t>
  </si>
  <si>
    <t>Total Number Seized</t>
  </si>
  <si>
    <t>Machine.ScheduledUtilization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</si>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</sst>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832098726853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drilling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4.0113316619212096"/>
    </cacheField>
    <cacheField name="BatchMeansHalfWidth" numFmtId="0">
      <sharedItems containsSemiMixedTypes="0" containsString="0" containsNumber="1" minValue="0" maxValue="0.78328237370487297"/>
    </cacheField>
    <cacheField name="Minimum" numFmtId="0">
      <sharedItems containsSemiMixedTypes="0" containsString="0" containsNumber="1" minValue="0" maxValue="1.50379522801813E-3"/>
    </cacheField>
    <cacheField name="Maximum" numFmtId="0">
      <sharedItems containsSemiMixedTypes="0" containsString="0" containsNumber="1" minValue="0" maxValue="137.427704846853"/>
    </cacheField>
    <cacheField name="NumberObservations" numFmtId="0">
      <sharedItems containsSemiMixedTypes="0" containsString="0" containsNumber="1" containsInteger="1" minValue="5897" maxValue="6074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3.6337711189182995"/>
    </cacheField>
    <cacheField name="StDevOfAverage" numFmtId="0">
      <sharedItems containsSemiMixedTypes="0" containsString="0" containsNumber="1" minValue="0" maxValue="0.2708055796260124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3624953873432234"/>
    </cacheField>
    <cacheField name="MinimumAverage" numFmtId="0">
      <sharedItems containsSemiMixedTypes="0" containsString="0" containsNumber="1" minValue="0" maxValue="3.3415625250772698"/>
    </cacheField>
    <cacheField name="MaximumAverage" numFmtId="0">
      <sharedItems containsSemiMixedTypes="0" containsString="0" containsNumber="1" minValue="0" maxValue="4.0113316619212096"/>
    </cacheField>
    <cacheField name="OverallMinimum" numFmtId="0">
      <sharedItems containsSemiMixedTypes="0" containsString="0" containsNumber="1" minValue="0" maxValue="5.7227824072469998E-5"/>
    </cacheField>
    <cacheField name="OverallMaximum" numFmtId="0">
      <sharedItems containsSemiMixedTypes="0" containsString="0" containsNumber="1" minValue="0" maxValue="137.427704846853"/>
    </cacheField>
    <cacheField name="AverageNumberObservations" numFmtId="0">
      <sharedItems containsSemiMixedTypes="0" containsString="0" containsNumber="1" minValue="5982" maxValue="5982.6"/>
    </cacheField>
    <cacheField name="SummaryHalfWidth" numFmtId="0">
      <sharedItems containsSemiMixedTypes="0" containsString="0" containsNumber="1" minValue="0" maxValue="0.33624953873432234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832098842591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Machine.NumberSeized"/>
        <s v="Machine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9344670066552505" maxValue="607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70638735321860158" maxValue="5985"/>
    </cacheField>
    <cacheField name="StandardDeviation" numFmtId="0">
      <sharedItems containsSemiMixedTypes="0" containsString="0" containsNumber="1" minValue="1.3201698382198699E-2" maxValue="70.57974213611154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6392073596320996E-2" maxValue="87.636324812914921"/>
    </cacheField>
    <cacheField name="Minimum" numFmtId="0">
      <sharedItems containsSemiMixedTypes="0" containsString="0" containsNumber="1" minValue="0.69344670066552505" maxValue="5898"/>
    </cacheField>
    <cacheField name="Maximum" numFmtId="0">
      <sharedItems containsSemiMixedTypes="0" containsString="0" containsNumber="1" minValue="0.72787459152016798" maxValue="60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8320989583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832099074076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6">
        <s v="Machine"/>
        <s v="Part"/>
        <s v="drilling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.69344670066552505" maxValue="2.70660486539925"/>
    </cacheField>
    <cacheField name="BatchMeansHalfWidth" numFmtId="0">
      <sharedItems containsSemiMixedTypes="0" containsString="0" containsNumber="1" minValue="2.30708003971557E-2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27"/>
    </cacheField>
    <cacheField name="LastRecordedValue" numFmtId="0">
      <sharedItems containsSemiMixedTypes="0" containsString="0" containsNumber="1" containsInteger="1" minValue="0" maxValue="1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70638735321860158" maxValue="2.41994083909927"/>
    </cacheField>
    <cacheField name="StDevOfAverage" numFmtId="0">
      <sharedItems containsSemiMixedTypes="0" containsString="0" containsNumber="1" minValue="0" maxValue="0.1899169125332621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3581299294256483"/>
    </cacheField>
    <cacheField name="MinimumAverage" numFmtId="0">
      <sharedItems containsSemiMixedTypes="0" containsString="0" containsNumber="1" minValue="0.69344670066552505" maxValue="2.2050599818259999"/>
    </cacheField>
    <cacheField name="MaximumAverage" numFmtId="0">
      <sharedItems containsSemiMixedTypes="0" containsString="0" containsNumber="1" minValue="0.72787459152016798" maxValue="2.70660486539925"/>
    </cacheField>
    <cacheField name="SummaryHalfWidth" numFmtId="0">
      <sharedItems containsSemiMixedTypes="0" containsString="0" containsNumber="1" minValue="0" maxValue="0.23581299294256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83209918981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5-04-25 19:58:02"/>
    <n v="1"/>
    <x v="0"/>
    <x v="0"/>
    <x v="0"/>
    <n v="2.9248366853315"/>
    <n v="0.54490112507881305"/>
    <n v="0"/>
    <n v="136.33646832155"/>
    <n v="6022"/>
    <s v="Unnamed Projectdrilling.QueueWaiting TimeQueue"/>
    <n v="5"/>
    <n v="2.57120993326114"/>
    <n v="0.25318958815108233"/>
    <n v="0.95"/>
    <n v="0.31437639632723724"/>
    <n v="2.2907087944846198"/>
    <n v="2.9248366853315"/>
    <n v="0"/>
    <n v="136.33646832155"/>
    <n v="5982.6"/>
    <n v="0.31437639632723724"/>
    <n v="5"/>
    <n v="1"/>
  </r>
  <r>
    <x v="0"/>
    <s v="2025-04-25 19:58:02"/>
    <n v="2"/>
    <x v="0"/>
    <x v="0"/>
    <x v="0"/>
    <n v="2.2907087944846198"/>
    <n v="0.48676583335463502"/>
    <n v="0"/>
    <n v="116.230109730546"/>
    <n v="5939"/>
    <s v="Unnamed Projectdrilling.QueueWaiting TimeQueue"/>
    <n v="5"/>
    <n v="2.57120993326114"/>
    <n v="0.25318958815108233"/>
    <n v="0.95"/>
    <n v="0.31437639632723724"/>
    <n v="2.2907087944846198"/>
    <n v="2.9248366853315"/>
    <n v="0"/>
    <n v="136.33646832155"/>
    <n v="5982.6"/>
    <n v="0.31437639632723724"/>
    <n v="5"/>
    <n v="1"/>
  </r>
  <r>
    <x v="0"/>
    <s v="2025-04-25 19:58:02"/>
    <n v="3"/>
    <x v="0"/>
    <x v="0"/>
    <x v="0"/>
    <n v="2.4984101939240699"/>
    <n v="0.571195788030889"/>
    <n v="0"/>
    <n v="107.16065196736101"/>
    <n v="5980"/>
    <s v="Unnamed Projectdrilling.QueueWaiting TimeQueue"/>
    <n v="5"/>
    <n v="2.57120993326114"/>
    <n v="0.25318958815108233"/>
    <n v="0.95"/>
    <n v="0.31437639632723724"/>
    <n v="2.2907087944846198"/>
    <n v="2.9248366853315"/>
    <n v="0"/>
    <n v="136.33646832155"/>
    <n v="5982.6"/>
    <n v="0.31437639632723724"/>
    <n v="5"/>
    <n v="1"/>
  </r>
  <r>
    <x v="0"/>
    <s v="2025-04-25 19:58:02"/>
    <n v="4"/>
    <x v="0"/>
    <x v="0"/>
    <x v="0"/>
    <n v="2.7249743272107598"/>
    <n v="0.76311054611225304"/>
    <n v="0"/>
    <n v="131.16571952923999"/>
    <n v="5898"/>
    <s v="Unnamed Projectdrilling.QueueWaiting TimeQueue"/>
    <n v="5"/>
    <n v="2.57120993326114"/>
    <n v="0.25318958815108233"/>
    <n v="0.95"/>
    <n v="0.31437639632723724"/>
    <n v="2.2907087944846198"/>
    <n v="2.9248366853315"/>
    <n v="0"/>
    <n v="136.33646832155"/>
    <n v="5982.6"/>
    <n v="0.31437639632723724"/>
    <n v="5"/>
    <n v="1"/>
  </r>
  <r>
    <x v="0"/>
    <s v="2025-04-25 19:58:02"/>
    <n v="5"/>
    <x v="0"/>
    <x v="0"/>
    <x v="0"/>
    <n v="2.41711966535475"/>
    <n v="0.218935904273522"/>
    <n v="0"/>
    <n v="62.125757803917601"/>
    <n v="6074"/>
    <s v="Unnamed Projectdrilling.QueueWaiting TimeQueue"/>
    <n v="5"/>
    <n v="2.57120993326114"/>
    <n v="0.25318958815108233"/>
    <n v="0.95"/>
    <n v="0.31437639632723724"/>
    <n v="2.2907087944846198"/>
    <n v="2.9248366853315"/>
    <n v="0"/>
    <n v="136.33646832155"/>
    <n v="5982.6"/>
    <n v="0.31437639632723724"/>
    <n v="5"/>
    <n v="1"/>
  </r>
  <r>
    <x v="0"/>
    <s v="2025-04-25 19:58:02"/>
    <n v="1"/>
    <x v="1"/>
    <x v="1"/>
    <x v="1"/>
    <n v="0"/>
    <n v="0"/>
    <n v="0"/>
    <n v="0"/>
    <n v="6021"/>
    <s v="Unnamed ProjectPartNVA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1"/>
    <x v="1"/>
    <x v="2"/>
    <x v="1"/>
    <n v="0"/>
    <n v="0"/>
    <n v="0"/>
    <n v="0"/>
    <n v="6021"/>
    <s v="Unnamed ProjectPartOth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1"/>
    <x v="1"/>
    <x v="3"/>
    <x v="1"/>
    <n v="4.0113316619212096"/>
    <n v="0.56264889796987605"/>
    <n v="8.3326658932492104E-4"/>
    <n v="137.427704846853"/>
    <n v="6021"/>
    <s v="Unnamed ProjectPartTotal TimeEntity"/>
    <n v="5"/>
    <n v="3.6337711189182995"/>
    <n v="0.27080557962601243"/>
    <n v="0.95"/>
    <n v="0.33624953873432234"/>
    <n v="3.3415625250772698"/>
    <n v="4.0113316619212096"/>
    <n v="5.7227824072469998E-5"/>
    <n v="137.427704846853"/>
    <n v="5982"/>
    <n v="0.33624953873432234"/>
    <n v="5"/>
    <n v="1"/>
  </r>
  <r>
    <x v="0"/>
    <s v="2025-04-25 19:58:02"/>
    <n v="1"/>
    <x v="1"/>
    <x v="4"/>
    <x v="1"/>
    <n v="0"/>
    <n v="0"/>
    <n v="0"/>
    <n v="0"/>
    <n v="6021"/>
    <s v="Unnamed ProjectPartTransf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1"/>
    <x v="1"/>
    <x v="5"/>
    <x v="1"/>
    <n v="1.08787811730753"/>
    <n v="2.3909849133663199E-2"/>
    <n v="2.00793580461323E-4"/>
    <n v="9.0113865707535297"/>
    <n v="6021"/>
    <s v="Unnamed ProjectPartVA TimeEntity"/>
    <n v="5"/>
    <n v="1.062669655469596"/>
    <n v="1.9191098237774283E-2"/>
    <n v="0.95"/>
    <n v="2.3828895767836027E-2"/>
    <n v="1.0456104860509601"/>
    <n v="1.08787811730753"/>
    <n v="4.2869946810242302E-5"/>
    <n v="13.175664153644901"/>
    <n v="5982"/>
    <n v="2.3828895767836027E-2"/>
    <n v="5"/>
    <n v="1"/>
  </r>
  <r>
    <x v="0"/>
    <s v="2025-04-25 19:58:02"/>
    <n v="1"/>
    <x v="1"/>
    <x v="6"/>
    <x v="1"/>
    <n v="2.9234535446136798"/>
    <n v="0.54490112507881305"/>
    <n v="0"/>
    <n v="136.33646832155"/>
    <n v="6021"/>
    <s v="Unnamed ProjectPartWait TimeEntity"/>
    <n v="5"/>
    <n v="2.5711014634487079"/>
    <n v="0.2527415025022049"/>
    <n v="0.95"/>
    <n v="0.31382002450891433"/>
    <n v="2.2907087944846198"/>
    <n v="2.9234535446136798"/>
    <n v="0"/>
    <n v="136.33646832155"/>
    <n v="5982"/>
    <n v="0.31382002450891433"/>
    <n v="5"/>
    <n v="1"/>
  </r>
  <r>
    <x v="0"/>
    <s v="2025-04-25 19:58:02"/>
    <n v="2"/>
    <x v="1"/>
    <x v="1"/>
    <x v="1"/>
    <n v="0"/>
    <n v="0"/>
    <n v="0"/>
    <n v="0"/>
    <n v="5939"/>
    <s v="Unnamed ProjectPartNVA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2"/>
    <x v="1"/>
    <x v="2"/>
    <x v="1"/>
    <n v="0"/>
    <n v="0"/>
    <n v="0"/>
    <n v="0"/>
    <n v="5939"/>
    <s v="Unnamed ProjectPartOth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2"/>
    <x v="1"/>
    <x v="3"/>
    <x v="1"/>
    <n v="3.3415625250772698"/>
    <n v="0.50477531609854698"/>
    <n v="1.50379522801813E-3"/>
    <n v="116.583754684239"/>
    <n v="5939"/>
    <s v="Unnamed ProjectPartTotal TimeEntity"/>
    <n v="5"/>
    <n v="3.6337711189182995"/>
    <n v="0.27080557962601243"/>
    <n v="0.95"/>
    <n v="0.33624953873432234"/>
    <n v="3.3415625250772698"/>
    <n v="4.0113316619212096"/>
    <n v="5.7227824072469998E-5"/>
    <n v="137.427704846853"/>
    <n v="5982"/>
    <n v="0.33624953873432234"/>
    <n v="5"/>
    <n v="1"/>
  </r>
  <r>
    <x v="0"/>
    <s v="2025-04-25 19:58:02"/>
    <n v="2"/>
    <x v="1"/>
    <x v="4"/>
    <x v="1"/>
    <n v="0"/>
    <n v="0"/>
    <n v="0"/>
    <n v="0"/>
    <n v="5939"/>
    <s v="Unnamed ProjectPartTransf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2"/>
    <x v="1"/>
    <x v="5"/>
    <x v="1"/>
    <n v="1.05085373059265"/>
    <n v="2.3719921716751399E-2"/>
    <n v="5.1016242468904195E-4"/>
    <n v="8.8703006427385809"/>
    <n v="5939"/>
    <s v="Unnamed ProjectPartVA TimeEntity"/>
    <n v="5"/>
    <n v="1.062669655469596"/>
    <n v="1.9191098237774283E-2"/>
    <n v="0.95"/>
    <n v="2.3828895767836027E-2"/>
    <n v="1.0456104860509601"/>
    <n v="1.08787811730753"/>
    <n v="4.2869946810242302E-5"/>
    <n v="13.175664153644901"/>
    <n v="5982"/>
    <n v="2.3828895767836027E-2"/>
    <n v="5"/>
    <n v="1"/>
  </r>
  <r>
    <x v="0"/>
    <s v="2025-04-25 19:58:02"/>
    <n v="2"/>
    <x v="1"/>
    <x v="6"/>
    <x v="1"/>
    <n v="2.2907087944846198"/>
    <n v="0.48676583335463502"/>
    <n v="0"/>
    <n v="116.230109730546"/>
    <n v="5939"/>
    <s v="Unnamed ProjectPartWait TimeEntity"/>
    <n v="5"/>
    <n v="2.5711014634487079"/>
    <n v="0.2527415025022049"/>
    <n v="0.95"/>
    <n v="0.31382002450891433"/>
    <n v="2.2907087944846198"/>
    <n v="2.9234535446136798"/>
    <n v="0"/>
    <n v="136.33646832155"/>
    <n v="5982"/>
    <n v="0.31382002450891433"/>
    <n v="5"/>
    <n v="1"/>
  </r>
  <r>
    <x v="0"/>
    <s v="2025-04-25 19:58:02"/>
    <n v="3"/>
    <x v="1"/>
    <x v="1"/>
    <x v="1"/>
    <n v="0"/>
    <n v="0"/>
    <n v="0"/>
    <n v="0"/>
    <n v="5979"/>
    <s v="Unnamed ProjectPartNVA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3"/>
    <x v="1"/>
    <x v="2"/>
    <x v="1"/>
    <n v="0"/>
    <n v="0"/>
    <n v="0"/>
    <n v="0"/>
    <n v="5979"/>
    <s v="Unnamed ProjectPartOth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3"/>
    <x v="1"/>
    <x v="3"/>
    <x v="1"/>
    <n v="3.5491823016470101"/>
    <n v="0.58599191535616701"/>
    <n v="5.7227824072469998E-5"/>
    <n v="110.811750238187"/>
    <n v="5979"/>
    <s v="Unnamed ProjectPartTotal TimeEntity"/>
    <n v="5"/>
    <n v="3.6337711189182995"/>
    <n v="0.27080557962601243"/>
    <n v="0.95"/>
    <n v="0.33624953873432234"/>
    <n v="3.3415625250772698"/>
    <n v="4.0113316619212096"/>
    <n v="5.7227824072469998E-5"/>
    <n v="137.427704846853"/>
    <n v="5982"/>
    <n v="0.33624953873432234"/>
    <n v="5"/>
    <n v="1"/>
  </r>
  <r>
    <x v="0"/>
    <s v="2025-04-25 19:58:02"/>
    <n v="3"/>
    <x v="1"/>
    <x v="4"/>
    <x v="1"/>
    <n v="0"/>
    <n v="0"/>
    <n v="0"/>
    <n v="0"/>
    <n v="5979"/>
    <s v="Unnamed ProjectPartTransf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3"/>
    <x v="1"/>
    <x v="5"/>
    <x v="1"/>
    <n v="1.0503542434991799"/>
    <n v="2.8739809908783699E-2"/>
    <n v="5.7227824072469998E-5"/>
    <n v="13.175664153644901"/>
    <n v="5979"/>
    <s v="Unnamed ProjectPartVA TimeEntity"/>
    <n v="5"/>
    <n v="1.062669655469596"/>
    <n v="1.9191098237774283E-2"/>
    <n v="0.95"/>
    <n v="2.3828895767836027E-2"/>
    <n v="1.0456104860509601"/>
    <n v="1.08787811730753"/>
    <n v="4.2869946810242302E-5"/>
    <n v="13.175664153644901"/>
    <n v="5982"/>
    <n v="2.3828895767836027E-2"/>
    <n v="5"/>
    <n v="1"/>
  </r>
  <r>
    <x v="0"/>
    <s v="2025-04-25 19:58:02"/>
    <n v="3"/>
    <x v="1"/>
    <x v="6"/>
    <x v="1"/>
    <n v="2.4988280581478399"/>
    <n v="0.571195788030889"/>
    <n v="0"/>
    <n v="107.16065196736101"/>
    <n v="5979"/>
    <s v="Unnamed ProjectPartWait TimeEntity"/>
    <n v="5"/>
    <n v="2.5711014634487079"/>
    <n v="0.2527415025022049"/>
    <n v="0.95"/>
    <n v="0.31382002450891433"/>
    <n v="2.2907087944846198"/>
    <n v="2.9234535446136798"/>
    <n v="0"/>
    <n v="136.33646832155"/>
    <n v="5982"/>
    <n v="0.31382002450891433"/>
    <n v="5"/>
    <n v="1"/>
  </r>
  <r>
    <x v="0"/>
    <s v="2025-04-25 19:58:02"/>
    <n v="4"/>
    <x v="1"/>
    <x v="1"/>
    <x v="1"/>
    <n v="0"/>
    <n v="0"/>
    <n v="0"/>
    <n v="0"/>
    <n v="5897"/>
    <s v="Unnamed ProjectPartNVA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4"/>
    <x v="1"/>
    <x v="2"/>
    <x v="1"/>
    <n v="0"/>
    <n v="0"/>
    <n v="0"/>
    <n v="0"/>
    <n v="5897"/>
    <s v="Unnamed ProjectPartOth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4"/>
    <x v="1"/>
    <x v="3"/>
    <x v="1"/>
    <n v="3.8040489545403098"/>
    <n v="0.78328237370487297"/>
    <n v="1.20950988275581E-3"/>
    <n v="133.02275152036299"/>
    <n v="5897"/>
    <s v="Unnamed ProjectPartTotal TimeEntity"/>
    <n v="5"/>
    <n v="3.6337711189182995"/>
    <n v="0.27080557962601243"/>
    <n v="0.95"/>
    <n v="0.33624953873432234"/>
    <n v="3.3415625250772698"/>
    <n v="4.0113316619212096"/>
    <n v="5.7227824072469998E-5"/>
    <n v="137.427704846853"/>
    <n v="5982"/>
    <n v="0.33624953873432234"/>
    <n v="5"/>
    <n v="1"/>
  </r>
  <r>
    <x v="0"/>
    <s v="2025-04-25 19:58:02"/>
    <n v="4"/>
    <x v="1"/>
    <x v="4"/>
    <x v="1"/>
    <n v="0"/>
    <n v="0"/>
    <n v="0"/>
    <n v="0"/>
    <n v="5897"/>
    <s v="Unnamed ProjectPartTransf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4"/>
    <x v="1"/>
    <x v="5"/>
    <x v="1"/>
    <n v="1.0786516998976601"/>
    <n v="2.9711587635236E-2"/>
    <n v="4.2869946810242302E-5"/>
    <n v="10.605162390676901"/>
    <n v="5897"/>
    <s v="Unnamed ProjectPartVA TimeEntity"/>
    <n v="5"/>
    <n v="1.062669655469596"/>
    <n v="1.9191098237774283E-2"/>
    <n v="0.95"/>
    <n v="2.3828895767836027E-2"/>
    <n v="1.0456104860509601"/>
    <n v="1.08787811730753"/>
    <n v="4.2869946810242302E-5"/>
    <n v="13.175664153644901"/>
    <n v="5982"/>
    <n v="2.3828895767836027E-2"/>
    <n v="5"/>
    <n v="1"/>
  </r>
  <r>
    <x v="0"/>
    <s v="2025-04-25 19:58:02"/>
    <n v="4"/>
    <x v="1"/>
    <x v="6"/>
    <x v="1"/>
    <n v="2.7253972546426501"/>
    <n v="0.76311054611225304"/>
    <n v="0"/>
    <n v="131.16571952923999"/>
    <n v="5897"/>
    <s v="Unnamed ProjectPartWait TimeEntity"/>
    <n v="5"/>
    <n v="2.5711014634487079"/>
    <n v="0.2527415025022049"/>
    <n v="0.95"/>
    <n v="0.31382002450891433"/>
    <n v="2.2907087944846198"/>
    <n v="2.9234535446136798"/>
    <n v="0"/>
    <n v="136.33646832155"/>
    <n v="5982"/>
    <n v="0.31382002450891433"/>
    <n v="5"/>
    <n v="1"/>
  </r>
  <r>
    <x v="0"/>
    <s v="2025-04-25 19:58:02"/>
    <n v="5"/>
    <x v="1"/>
    <x v="1"/>
    <x v="1"/>
    <n v="0"/>
    <n v="0"/>
    <n v="0"/>
    <n v="0"/>
    <n v="6074"/>
    <s v="Unnamed ProjectPartNVA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5"/>
    <x v="1"/>
    <x v="2"/>
    <x v="1"/>
    <n v="0"/>
    <n v="0"/>
    <n v="0"/>
    <n v="0"/>
    <n v="6074"/>
    <s v="Unnamed ProjectPartOth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5"/>
    <x v="1"/>
    <x v="3"/>
    <x v="1"/>
    <n v="3.4627301514057001"/>
    <n v="0.23317884875830699"/>
    <n v="1.5216440783660801E-4"/>
    <n v="63.049882910993297"/>
    <n v="6074"/>
    <s v="Unnamed ProjectPartTotal TimeEntity"/>
    <n v="5"/>
    <n v="3.6337711189182995"/>
    <n v="0.27080557962601243"/>
    <n v="0.95"/>
    <n v="0.33624953873432234"/>
    <n v="3.3415625250772698"/>
    <n v="4.0113316619212096"/>
    <n v="5.7227824072469998E-5"/>
    <n v="137.427704846853"/>
    <n v="5982"/>
    <n v="0.33624953873432234"/>
    <n v="5"/>
    <n v="1"/>
  </r>
  <r>
    <x v="0"/>
    <s v="2025-04-25 19:58:02"/>
    <n v="5"/>
    <x v="1"/>
    <x v="4"/>
    <x v="1"/>
    <n v="0"/>
    <n v="0"/>
    <n v="0"/>
    <n v="0"/>
    <n v="6074"/>
    <s v="Unnamed ProjectPartTransfer TimeEntity"/>
    <n v="5"/>
    <n v="0"/>
    <n v="0"/>
    <n v="0.95"/>
    <n v="0"/>
    <n v="0"/>
    <n v="0"/>
    <n v="0"/>
    <n v="0"/>
    <n v="5982"/>
    <n v="0"/>
    <n v="5"/>
    <n v="1"/>
  </r>
  <r>
    <x v="0"/>
    <s v="2025-04-25 19:58:02"/>
    <n v="5"/>
    <x v="1"/>
    <x v="5"/>
    <x v="1"/>
    <n v="1.0456104860509601"/>
    <n v="3.0597577746780701E-2"/>
    <n v="1.04249281321245E-4"/>
    <n v="11.17802678718"/>
    <n v="6074"/>
    <s v="Unnamed ProjectPartVA TimeEntity"/>
    <n v="5"/>
    <n v="1.062669655469596"/>
    <n v="1.9191098237774283E-2"/>
    <n v="0.95"/>
    <n v="2.3828895767836027E-2"/>
    <n v="1.0456104860509601"/>
    <n v="1.08787811730753"/>
    <n v="4.2869946810242302E-5"/>
    <n v="13.175664153644901"/>
    <n v="5982"/>
    <n v="2.3828895767836027E-2"/>
    <n v="5"/>
    <n v="1"/>
  </r>
  <r>
    <x v="0"/>
    <s v="2025-04-25 19:58:02"/>
    <n v="5"/>
    <x v="1"/>
    <x v="6"/>
    <x v="1"/>
    <n v="2.41711966535475"/>
    <n v="0.218935904273522"/>
    <n v="0"/>
    <n v="62.125757803917601"/>
    <n v="6074"/>
    <s v="Unnamed ProjectPartWait TimeEntity"/>
    <n v="5"/>
    <n v="2.5711014634487079"/>
    <n v="0.2527415025022049"/>
    <n v="0.95"/>
    <n v="0.31382002450891433"/>
    <n v="2.2907087944846198"/>
    <n v="2.9234535446136798"/>
    <n v="0"/>
    <n v="136.33646832155"/>
    <n v="5982"/>
    <n v="0.31382002450891433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5 19:58:02"/>
    <n v="1"/>
    <x v="0"/>
    <x v="0"/>
    <x v="0"/>
    <n v="6022"/>
    <n v="0"/>
    <s v="Unnamed ProjectMachine.NumberSeizedTotal Number SeizedResource"/>
    <n v="5"/>
    <n v="5982.6"/>
    <n v="68.86798966138042"/>
    <n v="0.95"/>
    <n v="85.51090339120509"/>
    <n v="5898"/>
    <n v="6074"/>
  </r>
  <r>
    <x v="0"/>
    <s v="2025-04-25 19:58:02"/>
    <n v="1"/>
    <x v="1"/>
    <x v="1"/>
    <x v="0"/>
    <n v="0.72787459152016798"/>
    <n v="0"/>
    <s v="Unnamed ProjectMachine.ScheduledUtilizationScheduled UtilizationResource"/>
    <n v="5"/>
    <n v="0.70638735321860158"/>
    <n v="1.3201698382198699E-2"/>
    <n v="0.95"/>
    <n v="1.6392073596320996E-2"/>
    <n v="0.69344670066552505"/>
    <n v="0.72787459152016798"/>
  </r>
  <r>
    <x v="0"/>
    <s v="2025-04-25 19:58:02"/>
    <n v="1"/>
    <x v="2"/>
    <x v="2"/>
    <x v="1"/>
    <n v="6033"/>
    <n v="0"/>
    <s v="Unnamed ProjectPart.NumberInNumber InEntity"/>
    <n v="5"/>
    <n v="5985"/>
    <n v="70.579742136111548"/>
    <n v="0.95"/>
    <n v="87.636324812914921"/>
    <n v="5898"/>
    <n v="6074"/>
  </r>
  <r>
    <x v="0"/>
    <s v="2025-04-25 19:58:02"/>
    <n v="1"/>
    <x v="3"/>
    <x v="3"/>
    <x v="1"/>
    <n v="6021"/>
    <n v="0"/>
    <s v="Unnamed ProjectPart.NumberOutNumber OutEntity"/>
    <n v="5"/>
    <n v="5982"/>
    <n v="69.043464571239468"/>
    <n v="0.95"/>
    <n v="85.728784269365121"/>
    <n v="5897"/>
    <n v="6074"/>
  </r>
  <r>
    <x v="0"/>
    <s v="2025-04-25 19:58:02"/>
    <n v="1"/>
    <x v="4"/>
    <x v="3"/>
    <x v="2"/>
    <n v="6021"/>
    <n v="0"/>
    <s v="Unnamed ProjectSystem.NumberOutNumber OutSystem"/>
    <n v="5"/>
    <n v="5982"/>
    <n v="69.043464571239468"/>
    <n v="0.95"/>
    <n v="85.728784269365121"/>
    <n v="5897"/>
    <n v="6074"/>
  </r>
  <r>
    <x v="0"/>
    <s v="2025-04-25 19:58:02"/>
    <n v="2"/>
    <x v="0"/>
    <x v="0"/>
    <x v="0"/>
    <n v="5939"/>
    <n v="0"/>
    <s v="Unnamed ProjectMachine.NumberSeizedTotal Number SeizedResource"/>
    <n v="5"/>
    <n v="5982.6"/>
    <n v="68.86798966138042"/>
    <n v="0.95"/>
    <n v="85.51090339120509"/>
    <n v="5898"/>
    <n v="6074"/>
  </r>
  <r>
    <x v="0"/>
    <s v="2025-04-25 19:58:02"/>
    <n v="2"/>
    <x v="1"/>
    <x v="1"/>
    <x v="0"/>
    <n v="0.69344670066552505"/>
    <n v="0"/>
    <s v="Unnamed ProjectMachine.ScheduledUtilizationScheduled UtilizationResource"/>
    <n v="5"/>
    <n v="0.70638735321860158"/>
    <n v="1.3201698382198699E-2"/>
    <n v="0.95"/>
    <n v="1.6392073596320996E-2"/>
    <n v="0.69344670066552505"/>
    <n v="0.72787459152016798"/>
  </r>
  <r>
    <x v="0"/>
    <s v="2025-04-25 19:58:02"/>
    <n v="2"/>
    <x v="2"/>
    <x v="2"/>
    <x v="1"/>
    <n v="5939"/>
    <n v="0"/>
    <s v="Unnamed ProjectPart.NumberInNumber InEntity"/>
    <n v="5"/>
    <n v="5985"/>
    <n v="70.579742136111548"/>
    <n v="0.95"/>
    <n v="87.636324812914921"/>
    <n v="5898"/>
    <n v="6074"/>
  </r>
  <r>
    <x v="0"/>
    <s v="2025-04-25 19:58:02"/>
    <n v="2"/>
    <x v="3"/>
    <x v="3"/>
    <x v="1"/>
    <n v="5939"/>
    <n v="0"/>
    <s v="Unnamed ProjectPart.NumberOutNumber OutEntity"/>
    <n v="5"/>
    <n v="5982"/>
    <n v="69.043464571239468"/>
    <n v="0.95"/>
    <n v="85.728784269365121"/>
    <n v="5897"/>
    <n v="6074"/>
  </r>
  <r>
    <x v="0"/>
    <s v="2025-04-25 19:58:02"/>
    <n v="2"/>
    <x v="4"/>
    <x v="3"/>
    <x v="2"/>
    <n v="5939"/>
    <n v="0"/>
    <s v="Unnamed ProjectSystem.NumberOutNumber OutSystem"/>
    <n v="5"/>
    <n v="5982"/>
    <n v="69.043464571239468"/>
    <n v="0.95"/>
    <n v="85.728784269365121"/>
    <n v="5897"/>
    <n v="6074"/>
  </r>
  <r>
    <x v="0"/>
    <s v="2025-04-25 19:58:02"/>
    <n v="3"/>
    <x v="0"/>
    <x v="0"/>
    <x v="0"/>
    <n v="5980"/>
    <n v="0"/>
    <s v="Unnamed ProjectMachine.NumberSeizedTotal Number SeizedResource"/>
    <n v="5"/>
    <n v="5982.6"/>
    <n v="68.86798966138042"/>
    <n v="0.95"/>
    <n v="85.51090339120509"/>
    <n v="5898"/>
    <n v="6074"/>
  </r>
  <r>
    <x v="0"/>
    <s v="2025-04-25 19:58:02"/>
    <n v="3"/>
    <x v="1"/>
    <x v="1"/>
    <x v="0"/>
    <n v="0.69818225970641101"/>
    <n v="0"/>
    <s v="Unnamed ProjectMachine.ScheduledUtilizationScheduled UtilizationResource"/>
    <n v="5"/>
    <n v="0.70638735321860158"/>
    <n v="1.3201698382198699E-2"/>
    <n v="0.95"/>
    <n v="1.6392073596320996E-2"/>
    <n v="0.69344670066552505"/>
    <n v="0.72787459152016798"/>
  </r>
  <r>
    <x v="0"/>
    <s v="2025-04-25 19:58:02"/>
    <n v="3"/>
    <x v="2"/>
    <x v="2"/>
    <x v="1"/>
    <n v="5981"/>
    <n v="0"/>
    <s v="Unnamed ProjectPart.NumberInNumber InEntity"/>
    <n v="5"/>
    <n v="5985"/>
    <n v="70.579742136111548"/>
    <n v="0.95"/>
    <n v="87.636324812914921"/>
    <n v="5898"/>
    <n v="6074"/>
  </r>
  <r>
    <x v="0"/>
    <s v="2025-04-25 19:58:02"/>
    <n v="3"/>
    <x v="3"/>
    <x v="3"/>
    <x v="1"/>
    <n v="5979"/>
    <n v="0"/>
    <s v="Unnamed ProjectPart.NumberOutNumber OutEntity"/>
    <n v="5"/>
    <n v="5982"/>
    <n v="69.043464571239468"/>
    <n v="0.95"/>
    <n v="85.728784269365121"/>
    <n v="5897"/>
    <n v="6074"/>
  </r>
  <r>
    <x v="0"/>
    <s v="2025-04-25 19:58:02"/>
    <n v="3"/>
    <x v="4"/>
    <x v="3"/>
    <x v="2"/>
    <n v="5979"/>
    <n v="0"/>
    <s v="Unnamed ProjectSystem.NumberOutNumber OutSystem"/>
    <n v="5"/>
    <n v="5982"/>
    <n v="69.043464571239468"/>
    <n v="0.95"/>
    <n v="85.728784269365121"/>
    <n v="5897"/>
    <n v="6074"/>
  </r>
  <r>
    <x v="0"/>
    <s v="2025-04-25 19:58:02"/>
    <n v="4"/>
    <x v="0"/>
    <x v="0"/>
    <x v="0"/>
    <n v="5898"/>
    <n v="0"/>
    <s v="Unnamed ProjectMachine.NumberSeizedTotal Number SeizedResource"/>
    <n v="5"/>
    <n v="5982.6"/>
    <n v="68.86798966138042"/>
    <n v="0.95"/>
    <n v="85.51090339120509"/>
    <n v="5898"/>
    <n v="6074"/>
  </r>
  <r>
    <x v="0"/>
    <s v="2025-04-25 19:58:02"/>
    <n v="4"/>
    <x v="1"/>
    <x v="1"/>
    <x v="0"/>
    <n v="0.70676231505940301"/>
    <n v="0"/>
    <s v="Unnamed ProjectMachine.ScheduledUtilizationScheduled UtilizationResource"/>
    <n v="5"/>
    <n v="0.70638735321860158"/>
    <n v="1.3201698382198699E-2"/>
    <n v="0.95"/>
    <n v="1.6392073596320996E-2"/>
    <n v="0.69344670066552505"/>
    <n v="0.72787459152016798"/>
  </r>
  <r>
    <x v="0"/>
    <s v="2025-04-25 19:58:02"/>
    <n v="4"/>
    <x v="2"/>
    <x v="2"/>
    <x v="1"/>
    <n v="5898"/>
    <n v="0"/>
    <s v="Unnamed ProjectPart.NumberInNumber InEntity"/>
    <n v="5"/>
    <n v="5985"/>
    <n v="70.579742136111548"/>
    <n v="0.95"/>
    <n v="87.636324812914921"/>
    <n v="5898"/>
    <n v="6074"/>
  </r>
  <r>
    <x v="0"/>
    <s v="2025-04-25 19:58:02"/>
    <n v="4"/>
    <x v="3"/>
    <x v="3"/>
    <x v="1"/>
    <n v="5897"/>
    <n v="0"/>
    <s v="Unnamed ProjectPart.NumberOutNumber OutEntity"/>
    <n v="5"/>
    <n v="5982"/>
    <n v="69.043464571239468"/>
    <n v="0.95"/>
    <n v="85.728784269365121"/>
    <n v="5897"/>
    <n v="6074"/>
  </r>
  <r>
    <x v="0"/>
    <s v="2025-04-25 19:58:02"/>
    <n v="4"/>
    <x v="4"/>
    <x v="3"/>
    <x v="2"/>
    <n v="5897"/>
    <n v="0"/>
    <s v="Unnamed ProjectSystem.NumberOutNumber OutSystem"/>
    <n v="5"/>
    <n v="5982"/>
    <n v="69.043464571239468"/>
    <n v="0.95"/>
    <n v="85.728784269365121"/>
    <n v="5897"/>
    <n v="6074"/>
  </r>
  <r>
    <x v="0"/>
    <s v="2025-04-25 19:58:02"/>
    <n v="5"/>
    <x v="0"/>
    <x v="0"/>
    <x v="0"/>
    <n v="6074"/>
    <n v="0"/>
    <s v="Unnamed ProjectMachine.NumberSeizedTotal Number SeizedResource"/>
    <n v="5"/>
    <n v="5982.6"/>
    <n v="68.86798966138042"/>
    <n v="0.95"/>
    <n v="85.51090339120509"/>
    <n v="5898"/>
    <n v="6074"/>
  </r>
  <r>
    <x v="0"/>
    <s v="2025-04-25 19:58:02"/>
    <n v="5"/>
    <x v="1"/>
    <x v="1"/>
    <x v="0"/>
    <n v="0.70567089914150105"/>
    <n v="0"/>
    <s v="Unnamed ProjectMachine.ScheduledUtilizationScheduled UtilizationResource"/>
    <n v="5"/>
    <n v="0.70638735321860158"/>
    <n v="1.3201698382198699E-2"/>
    <n v="0.95"/>
    <n v="1.6392073596320996E-2"/>
    <n v="0.69344670066552505"/>
    <n v="0.72787459152016798"/>
  </r>
  <r>
    <x v="0"/>
    <s v="2025-04-25 19:58:02"/>
    <n v="5"/>
    <x v="2"/>
    <x v="2"/>
    <x v="1"/>
    <n v="6074"/>
    <n v="0"/>
    <s v="Unnamed ProjectPart.NumberInNumber InEntity"/>
    <n v="5"/>
    <n v="5985"/>
    <n v="70.579742136111548"/>
    <n v="0.95"/>
    <n v="87.636324812914921"/>
    <n v="5898"/>
    <n v="6074"/>
  </r>
  <r>
    <x v="0"/>
    <s v="2025-04-25 19:58:02"/>
    <n v="5"/>
    <x v="3"/>
    <x v="3"/>
    <x v="1"/>
    <n v="6074"/>
    <n v="0"/>
    <s v="Unnamed ProjectPart.NumberOutNumber OutEntity"/>
    <n v="5"/>
    <n v="5982"/>
    <n v="69.043464571239468"/>
    <n v="0.95"/>
    <n v="85.728784269365121"/>
    <n v="5897"/>
    <n v="6074"/>
  </r>
  <r>
    <x v="0"/>
    <s v="2025-04-25 19:58:02"/>
    <n v="5"/>
    <x v="4"/>
    <x v="3"/>
    <x v="2"/>
    <n v="6074"/>
    <n v="0"/>
    <s v="Unnamed ProjectSystem.NumberOutNumber OutSystem"/>
    <n v="5"/>
    <n v="5982"/>
    <n v="69.043464571239468"/>
    <n v="0.95"/>
    <n v="85.728784269365121"/>
    <n v="5897"/>
    <n v="607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5 19:58:02"/>
    <n v="1"/>
    <x v="0"/>
    <x v="0"/>
    <x v="0"/>
    <n v="0.72787459152016798"/>
    <n v="2.9021698702359201E-2"/>
    <n v="0"/>
    <n v="1"/>
    <n v="1"/>
    <n v="0"/>
    <s v="Unnamed ProjectMachineInstantaneous Utilization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1"/>
    <x v="0"/>
    <x v="1"/>
    <x v="0"/>
    <n v="0.72787459152016798"/>
    <n v="2.9021698702359201E-2"/>
    <n v="0"/>
    <n v="1"/>
    <n v="1"/>
    <n v="0"/>
    <s v="Unnamed ProjectMachineNumber Busy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1"/>
    <x v="0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5 19:58:02"/>
    <n v="1"/>
    <x v="1"/>
    <x v="3"/>
    <x v="1"/>
    <n v="2.70660486539925"/>
    <n v="0.456023667360551"/>
    <n v="0"/>
    <n v="24"/>
    <n v="12"/>
    <n v="0"/>
    <s v="Unnamed ProjectPartWIPEntity"/>
    <n v="5"/>
    <n v="2.41994083909927"/>
    <n v="0.18991691253326218"/>
    <n v="0.95"/>
    <n v="0.23581299294256483"/>
    <n v="2.2050599818259999"/>
    <n v="2.70660486539925"/>
    <n v="0.23581299294256483"/>
  </r>
  <r>
    <x v="0"/>
    <s v="2025-04-25 19:58:02"/>
    <n v="1"/>
    <x v="2"/>
    <x v="4"/>
    <x v="2"/>
    <n v="1.97873027387908"/>
    <n v="0.431473889678884"/>
    <n v="0"/>
    <n v="23"/>
    <n v="11"/>
    <n v="0"/>
    <s v="Unnamed Projectdrilling.QueueNumber WaitingQueue"/>
    <n v="5"/>
    <n v="1.713553485880664"/>
    <n v="0.17741864542382024"/>
    <n v="0.95"/>
    <n v="0.22029434463283656"/>
    <n v="1.5116132811604599"/>
    <n v="1.97873027387908"/>
    <n v="0.22029434463283656"/>
  </r>
  <r>
    <x v="0"/>
    <s v="2025-04-25 19:58:02"/>
    <n v="2"/>
    <x v="0"/>
    <x v="0"/>
    <x v="0"/>
    <n v="0.69344670066552505"/>
    <n v="2.4450855455447201E-2"/>
    <n v="0"/>
    <n v="1"/>
    <n v="0"/>
    <n v="0"/>
    <s v="Unnamed ProjectMachineInstantaneous Utilization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2"/>
    <x v="0"/>
    <x v="1"/>
    <x v="0"/>
    <n v="0.69344670066552505"/>
    <n v="2.4450855455447201E-2"/>
    <n v="0"/>
    <n v="1"/>
    <n v="0"/>
    <n v="0"/>
    <s v="Unnamed ProjectMachineNumber Busy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2"/>
    <x v="0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5 19:58:02"/>
    <n v="2"/>
    <x v="1"/>
    <x v="3"/>
    <x v="1"/>
    <n v="2.2050599818259999"/>
    <n v="0.34081104905526199"/>
    <n v="0"/>
    <n v="20"/>
    <n v="0"/>
    <n v="0"/>
    <s v="Unnamed ProjectPartWIPEntity"/>
    <n v="5"/>
    <n v="2.41994083909927"/>
    <n v="0.18991691253326218"/>
    <n v="0.95"/>
    <n v="0.23581299294256483"/>
    <n v="2.2050599818259999"/>
    <n v="2.70660486539925"/>
    <n v="0.23581299294256483"/>
  </r>
  <r>
    <x v="0"/>
    <s v="2025-04-25 19:58:02"/>
    <n v="2"/>
    <x v="2"/>
    <x v="4"/>
    <x v="2"/>
    <n v="1.5116132811604599"/>
    <n v="0.32263627228638397"/>
    <n v="0"/>
    <n v="19"/>
    <n v="0"/>
    <n v="0"/>
    <s v="Unnamed Projectdrilling.QueueNumber WaitingQueue"/>
    <n v="5"/>
    <n v="1.713553485880664"/>
    <n v="0.17741864542382024"/>
    <n v="0.95"/>
    <n v="0.22029434463283656"/>
    <n v="1.5116132811604599"/>
    <n v="1.97873027387908"/>
    <n v="0.22029434463283656"/>
  </r>
  <r>
    <x v="0"/>
    <s v="2025-04-25 19:58:02"/>
    <n v="3"/>
    <x v="0"/>
    <x v="0"/>
    <x v="0"/>
    <n v="0.69818225970641101"/>
    <n v="2.5024068224139401E-2"/>
    <n v="0"/>
    <n v="1"/>
    <n v="1"/>
    <n v="0"/>
    <s v="Unnamed ProjectMachineInstantaneous Utilization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3"/>
    <x v="0"/>
    <x v="1"/>
    <x v="0"/>
    <n v="0.69818225970641101"/>
    <n v="2.5024068224139401E-2"/>
    <n v="0"/>
    <n v="1"/>
    <n v="1"/>
    <n v="0"/>
    <s v="Unnamed ProjectMachineNumber Busy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3"/>
    <x v="0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5 19:58:02"/>
    <n v="3"/>
    <x v="1"/>
    <x v="3"/>
    <x v="1"/>
    <n v="2.35855241970867"/>
    <n v="0.37191371378715898"/>
    <n v="0"/>
    <n v="20"/>
    <n v="2"/>
    <n v="0"/>
    <s v="Unnamed ProjectPartWIPEntity"/>
    <n v="5"/>
    <n v="2.41994083909927"/>
    <n v="0.18991691253326218"/>
    <n v="0.95"/>
    <n v="0.23581299294256483"/>
    <n v="2.2050599818259999"/>
    <n v="2.70660486539925"/>
    <n v="0.23581299294256483"/>
  </r>
  <r>
    <x v="0"/>
    <s v="2025-04-25 19:58:02"/>
    <n v="3"/>
    <x v="2"/>
    <x v="4"/>
    <x v="2"/>
    <n v="1.66037016000225"/>
    <n v="0.35501015606208902"/>
    <n v="0"/>
    <n v="19"/>
    <n v="1"/>
    <n v="0"/>
    <s v="Unnamed Projectdrilling.QueueNumber WaitingQueue"/>
    <n v="5"/>
    <n v="1.713553485880664"/>
    <n v="0.17741864542382024"/>
    <n v="0.95"/>
    <n v="0.22029434463283656"/>
    <n v="1.5116132811604599"/>
    <n v="1.97873027387908"/>
    <n v="0.22029434463283656"/>
  </r>
  <r>
    <x v="0"/>
    <s v="2025-04-25 19:58:02"/>
    <n v="4"/>
    <x v="0"/>
    <x v="0"/>
    <x v="0"/>
    <n v="0.70676231505940301"/>
    <n v="2.91439847187011E-2"/>
    <n v="0"/>
    <n v="1"/>
    <n v="1"/>
    <n v="0"/>
    <s v="Unnamed ProjectMachineInstantaneous Utilization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4"/>
    <x v="0"/>
    <x v="1"/>
    <x v="0"/>
    <n v="0.70676231505940301"/>
    <n v="2.91439847187011E-2"/>
    <n v="0"/>
    <n v="1"/>
    <n v="1"/>
    <n v="0"/>
    <s v="Unnamed ProjectMachineNumber Busy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4"/>
    <x v="0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5 19:58:02"/>
    <n v="4"/>
    <x v="1"/>
    <x v="3"/>
    <x v="1"/>
    <n v="2.4925288241581902"/>
    <n v="0.44512105573931199"/>
    <n v="0"/>
    <n v="27"/>
    <n v="1"/>
    <n v="0"/>
    <s v="Unnamed ProjectPartWIPEntity"/>
    <n v="5"/>
    <n v="2.41994083909927"/>
    <n v="0.18991691253326218"/>
    <n v="0.95"/>
    <n v="0.23581299294256483"/>
    <n v="2.2050599818259999"/>
    <n v="2.70660486539925"/>
    <n v="0.23581299294256483"/>
  </r>
  <r>
    <x v="0"/>
    <s v="2025-04-25 19:58:02"/>
    <n v="4"/>
    <x v="2"/>
    <x v="4"/>
    <x v="2"/>
    <n v="1.78576650909879"/>
    <n v="0.42281421467694502"/>
    <n v="0"/>
    <n v="26"/>
    <n v="0"/>
    <n v="0"/>
    <s v="Unnamed Projectdrilling.QueueNumber WaitingQueue"/>
    <n v="5"/>
    <n v="1.713553485880664"/>
    <n v="0.17741864542382024"/>
    <n v="0.95"/>
    <n v="0.22029434463283656"/>
    <n v="1.5116132811604599"/>
    <n v="1.97873027387908"/>
    <n v="0.22029434463283656"/>
  </r>
  <r>
    <x v="0"/>
    <s v="2025-04-25 19:58:02"/>
    <n v="5"/>
    <x v="0"/>
    <x v="0"/>
    <x v="0"/>
    <n v="0.70567089914150105"/>
    <n v="2.30708003971557E-2"/>
    <n v="0"/>
    <n v="1"/>
    <n v="0"/>
    <n v="0"/>
    <s v="Unnamed ProjectMachineInstantaneous Utilization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5"/>
    <x v="0"/>
    <x v="1"/>
    <x v="0"/>
    <n v="0.70567089914150105"/>
    <n v="2.30708003971557E-2"/>
    <n v="0"/>
    <n v="1"/>
    <n v="0"/>
    <n v="0"/>
    <s v="Unnamed ProjectMachineNumber BusyResource"/>
    <n v="5"/>
    <n v="0.70638735321860158"/>
    <n v="1.3201698382198699E-2"/>
    <n v="0.95"/>
    <n v="1.6392073596320996E-2"/>
    <n v="0.69344670066552505"/>
    <n v="0.72787459152016798"/>
    <n v="1.6392073596320996E-2"/>
  </r>
  <r>
    <x v="0"/>
    <s v="2025-04-25 19:58:02"/>
    <n v="5"/>
    <x v="0"/>
    <x v="2"/>
    <x v="0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5 19:58:02"/>
    <n v="5"/>
    <x v="1"/>
    <x v="3"/>
    <x v="1"/>
    <n v="2.33695810440424"/>
    <n v="0.218957579690751"/>
    <n v="0"/>
    <n v="17"/>
    <n v="0"/>
    <n v="0"/>
    <s v="Unnamed ProjectPartWIPEntity"/>
    <n v="5"/>
    <n v="2.41994083909927"/>
    <n v="0.18991691253326218"/>
    <n v="0.95"/>
    <n v="0.23581299294256483"/>
    <n v="2.2050599818259999"/>
    <n v="2.70660486539925"/>
    <n v="0.23581299294256483"/>
  </r>
  <r>
    <x v="0"/>
    <s v="2025-04-25 19:58:02"/>
    <n v="5"/>
    <x v="2"/>
    <x v="4"/>
    <x v="2"/>
    <n v="1.6312872052627401"/>
    <n v="0.20694062123460399"/>
    <n v="0"/>
    <n v="16"/>
    <n v="0"/>
    <n v="0"/>
    <s v="Unnamed Projectdrilling.QueueNumber WaitingQueue"/>
    <n v="5"/>
    <n v="1.713553485880664"/>
    <n v="0.17741864542382024"/>
    <n v="0.95"/>
    <n v="0.22029434463283656"/>
    <n v="1.5116132811604599"/>
    <n v="1.97873027387908"/>
    <n v="0.2202943446328365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19"/>
        <item x="4"/>
        <item m="1" x="62"/>
        <item m="1" x="49"/>
        <item m="1" x="66"/>
        <item m="1" x="51"/>
        <item m="1" x="67"/>
        <item m="1" x="74"/>
        <item x="0"/>
        <item x="1"/>
        <item m="1" x="60"/>
        <item m="1" x="50"/>
        <item m="1" x="48"/>
        <item m="1" x="15"/>
        <item m="1" x="58"/>
        <item m="1" x="24"/>
        <item m="1" x="59"/>
        <item m="1" x="25"/>
        <item m="1" x="57"/>
        <item m="1" x="77"/>
        <item m="1" x="18"/>
        <item m="1" x="80"/>
        <item m="1" x="45"/>
        <item m="1" x="13"/>
        <item m="1" x="75"/>
        <item m="1" x="70"/>
        <item m="1" x="46"/>
        <item m="1" x="14"/>
        <item m="1" x="76"/>
        <item m="1" x="71"/>
        <item m="1" x="10"/>
        <item m="1" x="43"/>
        <item m="1" x="27"/>
        <item m="1" x="17"/>
        <item m="1" x="68"/>
        <item m="1" x="39"/>
        <item m="1" x="69"/>
        <item m="1" x="40"/>
        <item m="1" x="26"/>
        <item m="1" x="21"/>
        <item m="1" x="47"/>
        <item m="1" x="23"/>
        <item m="1" x="79"/>
        <item m="1" x="72"/>
        <item m="1" x="22"/>
        <item m="1" x="20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4"/>
        <item m="1" x="16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7"/>
      <x v="3"/>
      <x v="1"/>
    </i>
    <i r="1">
      <x v="18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3"/>
        <item m="1" x="46"/>
        <item m="1" x="45"/>
        <item m="1" x="10"/>
        <item m="1" x="110"/>
        <item m="1" x="88"/>
        <item m="1" x="51"/>
        <item m="1" x="38"/>
        <item m="1" x="42"/>
        <item m="1" x="124"/>
        <item x="0"/>
        <item m="1" x="109"/>
        <item m="1" x="31"/>
        <item m="1" x="82"/>
        <item m="1" x="96"/>
        <item m="1" x="7"/>
        <item m="1" x="32"/>
        <item m="1" x="119"/>
        <item m="1" x="22"/>
        <item m="1" x="111"/>
        <item m="1" x="11"/>
        <item m="1" x="37"/>
        <item m="1" x="63"/>
        <item m="1" x="8"/>
        <item m="1" x="14"/>
        <item m="1" x="83"/>
        <item m="1" x="64"/>
        <item m="1" x="98"/>
        <item m="1" x="54"/>
        <item m="1" x="19"/>
        <item m="1" x="48"/>
        <item m="1" x="84"/>
        <item m="1" x="69"/>
        <item m="1" x="20"/>
        <item m="1" x="29"/>
        <item m="1" x="91"/>
        <item m="1" x="6"/>
        <item m="1" x="118"/>
        <item m="1" x="76"/>
        <item m="1" x="17"/>
        <item m="1" x="101"/>
        <item m="1" x="47"/>
        <item m="1" x="120"/>
        <item m="1" x="81"/>
        <item m="1" x="24"/>
        <item m="1" x="68"/>
        <item m="1" x="87"/>
        <item m="1" x="100"/>
        <item m="1" x="108"/>
        <item m="1" x="117"/>
        <item m="1" x="5"/>
        <item m="1" x="23"/>
        <item m="1" x="36"/>
        <item m="1" x="26"/>
        <item m="1" x="4"/>
        <item m="1" x="97"/>
        <item m="1" x="114"/>
        <item m="1" x="40"/>
        <item m="1" x="75"/>
        <item m="1" x="28"/>
        <item m="1" x="49"/>
        <item m="1" x="34"/>
        <item m="1" x="58"/>
        <item m="1" x="43"/>
        <item m="1" x="65"/>
        <item m="1" x="50"/>
        <item m="1" x="77"/>
        <item m="1" x="59"/>
        <item m="1" x="85"/>
        <item m="1" x="66"/>
        <item m="1" x="94"/>
        <item m="1" x="78"/>
        <item m="1" x="99"/>
        <item m="1" x="86"/>
        <item m="1" x="103"/>
        <item m="1" x="115"/>
        <item m="1" x="105"/>
        <item m="1" x="89"/>
        <item m="1" x="62"/>
        <item m="1" x="41"/>
        <item m="1" x="56"/>
        <item m="1" x="21"/>
        <item m="1" x="27"/>
        <item m="1" x="35"/>
        <item m="1" x="39"/>
        <item m="1" x="71"/>
        <item m="1" x="116"/>
        <item m="1" x="106"/>
        <item m="1" x="90"/>
        <item m="1" x="57"/>
        <item m="1" x="125"/>
        <item m="1" x="73"/>
        <item m="1" x="61"/>
        <item m="1" x="93"/>
        <item m="1" x="74"/>
        <item m="1" x="53"/>
        <item m="1" x="60"/>
        <item m="1" x="15"/>
        <item m="1" x="79"/>
        <item m="1" x="95"/>
        <item m="1" x="104"/>
        <item m="1" x="112"/>
        <item m="1" x="123"/>
        <item m="1" x="12"/>
        <item m="1" x="30"/>
        <item m="1" x="122"/>
        <item m="1" x="13"/>
        <item m="1" x="80"/>
        <item m="1" x="55"/>
        <item m="1" x="70"/>
        <item m="1" x="16"/>
        <item m="1" x="121"/>
        <item m="1" x="102"/>
        <item m="1" x="52"/>
        <item m="1" x="113"/>
        <item m="1" x="72"/>
        <item m="1" x="92"/>
        <item m="1" x="107"/>
        <item m="1" x="44"/>
        <item m="1" x="67"/>
        <item m="1" x="3"/>
        <item x="1"/>
        <item x="2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3"/>
      <x/>
      <x v="2"/>
    </i>
    <i r="2">
      <x v="1"/>
      <x v="2"/>
    </i>
    <i r="2">
      <x v="2"/>
      <x v="2"/>
    </i>
    <i r="1">
      <x v="124"/>
      <x v="4"/>
      <x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08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78</v>
      </c>
      <c r="C3" t="s">
        <v>79</v>
      </c>
      <c r="D3" t="s">
        <v>80</v>
      </c>
      <c r="E3" s="5">
        <v>2.57120993326114</v>
      </c>
      <c r="F3" s="5">
        <v>1</v>
      </c>
      <c r="G3" s="5">
        <v>0.31437639632723724</v>
      </c>
      <c r="H3" s="5">
        <v>0.25318958815108233</v>
      </c>
      <c r="I3" s="5">
        <v>2.2907087944846198</v>
      </c>
      <c r="J3" s="5">
        <v>2.9248366853315</v>
      </c>
      <c r="K3" s="5">
        <v>0</v>
      </c>
      <c r="L3" s="5">
        <v>136.33646832155</v>
      </c>
      <c r="M3" s="5">
        <v>5982.6</v>
      </c>
      <c r="O3" t="s">
        <v>66</v>
      </c>
      <c r="P3" t="s">
        <v>81</v>
      </c>
      <c r="Q3" t="s">
        <v>82</v>
      </c>
      <c r="R3" t="s">
        <v>83</v>
      </c>
      <c r="S3" s="5">
        <v>0.70638735321860158</v>
      </c>
      <c r="T3" s="5">
        <v>1.6392073596320996E-2</v>
      </c>
      <c r="U3" s="5">
        <v>1.3201698382198699E-2</v>
      </c>
      <c r="V3" s="5">
        <v>0.69344670066552505</v>
      </c>
      <c r="W3" s="5">
        <v>0.72787459152016798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95</v>
      </c>
      <c r="AN3" t="s">
        <v>97</v>
      </c>
      <c r="AO3" s="5">
        <v>5982</v>
      </c>
      <c r="AP3" s="5">
        <v>85.728784269365121</v>
      </c>
      <c r="AQ3" s="5">
        <v>69.043464571239468</v>
      </c>
      <c r="AR3" s="5">
        <v>5897</v>
      </c>
      <c r="AS3" s="5">
        <v>6074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B4" t="s">
        <v>70</v>
      </c>
      <c r="C4" t="s">
        <v>71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5982</v>
      </c>
      <c r="Q4" t="s">
        <v>84</v>
      </c>
      <c r="R4" t="s">
        <v>83</v>
      </c>
      <c r="S4" s="5">
        <v>0.70638735321860158</v>
      </c>
      <c r="T4" s="5">
        <v>1.6392073596320996E-2</v>
      </c>
      <c r="U4" s="5">
        <v>1.3201698382198699E-2</v>
      </c>
      <c r="V4" s="5">
        <v>0.69344670066552505</v>
      </c>
      <c r="W4" s="5">
        <v>0.72787459152016798</v>
      </c>
      <c r="X4" s="5">
        <v>0</v>
      </c>
      <c r="Y4" s="5">
        <v>1</v>
      </c>
      <c r="AL4" t="s">
        <v>88</v>
      </c>
      <c r="AM4" t="s">
        <v>89</v>
      </c>
      <c r="AN4" t="s">
        <v>83</v>
      </c>
      <c r="AO4" s="5">
        <v>5982.6</v>
      </c>
      <c r="AP4" s="5">
        <v>85.51090339120509</v>
      </c>
      <c r="AQ4" s="5">
        <v>68.86798966138042</v>
      </c>
      <c r="AR4" s="5">
        <v>5898</v>
      </c>
      <c r="AS4" s="5">
        <v>6074</v>
      </c>
    </row>
    <row r="5" spans="1:52" x14ac:dyDescent="0.3">
      <c r="C5" t="s">
        <v>73</v>
      </c>
      <c r="D5" t="s">
        <v>72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5982</v>
      </c>
      <c r="Q5" t="s">
        <v>85</v>
      </c>
      <c r="R5" t="s">
        <v>83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90</v>
      </c>
      <c r="AM5" t="s">
        <v>91</v>
      </c>
      <c r="AN5" t="s">
        <v>83</v>
      </c>
      <c r="AO5" s="5">
        <v>0.70638735321860158</v>
      </c>
      <c r="AP5" s="5">
        <v>1.6392073596320996E-2</v>
      </c>
      <c r="AQ5" s="5">
        <v>1.3201698382198699E-2</v>
      </c>
      <c r="AR5" s="5">
        <v>0.69344670066552505</v>
      </c>
      <c r="AS5" s="5">
        <v>0.72787459152016798</v>
      </c>
    </row>
    <row r="6" spans="1:52" x14ac:dyDescent="0.3">
      <c r="C6" t="s">
        <v>74</v>
      </c>
      <c r="D6" t="s">
        <v>72</v>
      </c>
      <c r="E6" s="5">
        <v>3.6337711189182995</v>
      </c>
      <c r="F6" s="5">
        <v>1</v>
      </c>
      <c r="G6" s="5">
        <v>0.33624953873432234</v>
      </c>
      <c r="H6" s="5">
        <v>0.27080557962601243</v>
      </c>
      <c r="I6" s="5">
        <v>3.3415625250772698</v>
      </c>
      <c r="J6" s="5">
        <v>4.0113316619212096</v>
      </c>
      <c r="K6" s="5">
        <v>5.7227824072469998E-5</v>
      </c>
      <c r="L6" s="5">
        <v>137.427704846853</v>
      </c>
      <c r="M6" s="5">
        <v>5982</v>
      </c>
      <c r="P6" t="s">
        <v>70</v>
      </c>
      <c r="Q6" t="s">
        <v>86</v>
      </c>
      <c r="R6" t="s">
        <v>72</v>
      </c>
      <c r="S6" s="5">
        <v>2.41994083909927</v>
      </c>
      <c r="T6" s="5">
        <v>0.23581299294256483</v>
      </c>
      <c r="U6" s="5">
        <v>0.18991691253326218</v>
      </c>
      <c r="V6" s="5">
        <v>2.2050599818259999</v>
      </c>
      <c r="W6" s="5">
        <v>2.70660486539925</v>
      </c>
      <c r="X6" s="5">
        <v>0</v>
      </c>
      <c r="Y6" s="5">
        <v>27</v>
      </c>
      <c r="AL6" t="s">
        <v>92</v>
      </c>
      <c r="AM6" t="s">
        <v>93</v>
      </c>
      <c r="AN6" t="s">
        <v>72</v>
      </c>
      <c r="AO6" s="5">
        <v>5985</v>
      </c>
      <c r="AP6" s="5">
        <v>87.636324812914921</v>
      </c>
      <c r="AQ6" s="5">
        <v>70.579742136111548</v>
      </c>
      <c r="AR6" s="5">
        <v>5898</v>
      </c>
      <c r="AS6" s="5">
        <v>6074</v>
      </c>
    </row>
    <row r="7" spans="1:52" x14ac:dyDescent="0.3">
      <c r="C7" t="s">
        <v>75</v>
      </c>
      <c r="D7" t="s">
        <v>72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5982</v>
      </c>
      <c r="P7" t="s">
        <v>78</v>
      </c>
      <c r="Q7" t="s">
        <v>87</v>
      </c>
      <c r="R7" t="s">
        <v>80</v>
      </c>
      <c r="S7" s="5">
        <v>1.713553485880664</v>
      </c>
      <c r="T7" s="5">
        <v>0.22029434463283656</v>
      </c>
      <c r="U7" s="5">
        <v>0.17741864542382024</v>
      </c>
      <c r="V7" s="5">
        <v>1.5116132811604599</v>
      </c>
      <c r="W7" s="5">
        <v>1.97873027387908</v>
      </c>
      <c r="X7" s="5">
        <v>0</v>
      </c>
      <c r="Y7" s="5">
        <v>26</v>
      </c>
      <c r="AL7" t="s">
        <v>94</v>
      </c>
      <c r="AM7" t="s">
        <v>95</v>
      </c>
      <c r="AN7" t="s">
        <v>72</v>
      </c>
      <c r="AO7" s="5">
        <v>5982</v>
      </c>
      <c r="AP7" s="5">
        <v>85.728784269365121</v>
      </c>
      <c r="AQ7" s="5">
        <v>69.043464571239468</v>
      </c>
      <c r="AR7" s="5">
        <v>5897</v>
      </c>
      <c r="AS7" s="5">
        <v>6074</v>
      </c>
    </row>
    <row r="8" spans="1:52" x14ac:dyDescent="0.3">
      <c r="C8" t="s">
        <v>76</v>
      </c>
      <c r="D8" t="s">
        <v>72</v>
      </c>
      <c r="E8" s="5">
        <v>1.062669655469596</v>
      </c>
      <c r="F8" s="5">
        <v>1</v>
      </c>
      <c r="G8" s="5">
        <v>2.3828895767836027E-2</v>
      </c>
      <c r="H8" s="5">
        <v>1.9191098237774283E-2</v>
      </c>
      <c r="I8" s="5">
        <v>1.0456104860509601</v>
      </c>
      <c r="J8" s="5">
        <v>1.08787811730753</v>
      </c>
      <c r="K8" s="5">
        <v>4.2869946810242302E-5</v>
      </c>
      <c r="L8" s="5">
        <v>13.175664153644901</v>
      </c>
      <c r="M8" s="5">
        <v>5982</v>
      </c>
    </row>
    <row r="9" spans="1:52" x14ac:dyDescent="0.3">
      <c r="C9" t="s">
        <v>77</v>
      </c>
      <c r="D9" t="s">
        <v>72</v>
      </c>
      <c r="E9" s="5">
        <v>2.5711014634487079</v>
      </c>
      <c r="F9" s="5">
        <v>1</v>
      </c>
      <c r="G9" s="5">
        <v>0.31382002450891433</v>
      </c>
      <c r="H9" s="5">
        <v>0.2527415025022049</v>
      </c>
      <c r="I9" s="5">
        <v>2.2907087944846198</v>
      </c>
      <c r="J9" s="5">
        <v>2.9234535446136798</v>
      </c>
      <c r="K9" s="5">
        <v>0</v>
      </c>
      <c r="L9" s="5">
        <v>136.33646832155</v>
      </c>
      <c r="M9" s="5">
        <v>5982</v>
      </c>
    </row>
  </sheetData>
  <dataConsolidate/>
  <phoneticPr fontId="3" type="noConversion"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2.41406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2.5" bestFit="1" customWidth="1"/>
    <col min="10" max="10" width="12.33203125" bestFit="1" customWidth="1"/>
    <col min="11" max="11" width="21.58203125" bestFit="1" customWidth="1"/>
    <col min="12" max="12" width="43.91406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78</v>
      </c>
      <c r="E2" t="s">
        <v>79</v>
      </c>
      <c r="F2" t="s">
        <v>80</v>
      </c>
      <c r="G2">
        <v>2.9248366853315</v>
      </c>
      <c r="H2">
        <v>0.54490112507881305</v>
      </c>
      <c r="I2">
        <v>0</v>
      </c>
      <c r="J2">
        <v>136.33646832155</v>
      </c>
      <c r="K2">
        <v>6022</v>
      </c>
      <c r="L2" t="str">
        <f>DiscreteStatsTable[[#This Row],[ProjectName]]&amp;DiscreteStatsTable[[#This Row],[Name]]&amp;DiscreteStatsTable[[#This Row],[Type]]&amp;DiscreteStatsTable[[#This Row],[Source]]</f>
        <v>Unnamed Projectdrilling.QueueWaiting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2.57120993326114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0.25318958815108233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0.31437639632723724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2.2907087944846198</v>
      </c>
      <c r="S2" cm="1">
        <f t="array" ref="S2">MAX(IF((DiscreteStatsTable[GroupByKey]=DiscreteStatsTable[[#This Row],[GroupByKey]]),(DiscreteStatsTable[GroupByKey]=DiscreteStatsTable[[#This Row],[GroupByKey]])*DiscreteStatsTable[Average]))</f>
        <v>2.9248366853315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136.33646832155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5982.6</v>
      </c>
      <c r="W2">
        <f>IF((DiscreteStatsTable[[#This Row],[RepsRequested]]&gt;1),DiscreteStatsTable[[#This Row],[HalfWidth]],DiscreteStatsTable[[#This Row],[BatchMeansHalfWidth]])</f>
        <v>0.31437639632723724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2</v>
      </c>
      <c r="D3" t="s">
        <v>78</v>
      </c>
      <c r="E3" t="s">
        <v>79</v>
      </c>
      <c r="F3" t="s">
        <v>80</v>
      </c>
      <c r="G3">
        <v>2.2907087944846198</v>
      </c>
      <c r="H3">
        <v>0.48676583335463502</v>
      </c>
      <c r="I3">
        <v>0</v>
      </c>
      <c r="J3">
        <v>116.230109730546</v>
      </c>
      <c r="K3">
        <v>5939</v>
      </c>
      <c r="L3" t="str">
        <f>DiscreteStatsTable[[#This Row],[ProjectName]]&amp;DiscreteStatsTable[[#This Row],[Name]]&amp;DiscreteStatsTable[[#This Row],[Type]]&amp;DiscreteStatsTable[[#This Row],[Source]]</f>
        <v>Unnamed Projectdrilling.QueueWaiting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2.57120993326114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0.25318958815108233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0.31437639632723724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2.2907087944846198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2.9248366853315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136.33646832155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5982.6</v>
      </c>
      <c r="W3">
        <f>IF((DiscreteStatsTable[[#This Row],[RepsRequested]]&gt;1),DiscreteStatsTable[[#This Row],[HalfWidth]],DiscreteStatsTable[[#This Row],[BatchMeansHalfWidth]])</f>
        <v>0.31437639632723724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3</v>
      </c>
      <c r="D4" t="s">
        <v>78</v>
      </c>
      <c r="E4" t="s">
        <v>79</v>
      </c>
      <c r="F4" t="s">
        <v>80</v>
      </c>
      <c r="G4">
        <v>2.4984101939240699</v>
      </c>
      <c r="H4">
        <v>0.571195788030889</v>
      </c>
      <c r="I4">
        <v>0</v>
      </c>
      <c r="J4">
        <v>107.16065196736101</v>
      </c>
      <c r="K4">
        <v>5980</v>
      </c>
      <c r="L4" t="str">
        <f>DiscreteStatsTable[[#This Row],[ProjectName]]&amp;DiscreteStatsTable[[#This Row],[Name]]&amp;DiscreteStatsTable[[#This Row],[Type]]&amp;DiscreteStatsTable[[#This Row],[Source]]</f>
        <v>Unnamed Projectdrilling.QueueWaiting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2.57120993326114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0.25318958815108233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0.31437639632723724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2.2907087944846198</v>
      </c>
      <c r="S4" cm="1">
        <f t="array" ref="S4">MAX(IF((DiscreteStatsTable[GroupByKey]=DiscreteStatsTable[[#This Row],[GroupByKey]]),(DiscreteStatsTable[GroupByKey]=DiscreteStatsTable[[#This Row],[GroupByKey]])*DiscreteStatsTable[Average]))</f>
        <v>2.9248366853315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136.33646832155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5982.6</v>
      </c>
      <c r="W4">
        <f>IF((DiscreteStatsTable[[#This Row],[RepsRequested]]&gt;1),DiscreteStatsTable[[#This Row],[HalfWidth]],DiscreteStatsTable[[#This Row],[BatchMeansHalfWidth]])</f>
        <v>0.31437639632723724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4</v>
      </c>
      <c r="D5" t="s">
        <v>78</v>
      </c>
      <c r="E5" t="s">
        <v>79</v>
      </c>
      <c r="F5" t="s">
        <v>80</v>
      </c>
      <c r="G5">
        <v>2.7249743272107598</v>
      </c>
      <c r="H5">
        <v>0.76311054611225304</v>
      </c>
      <c r="I5">
        <v>0</v>
      </c>
      <c r="J5">
        <v>131.16571952923999</v>
      </c>
      <c r="K5">
        <v>5898</v>
      </c>
      <c r="L5" t="str">
        <f>DiscreteStatsTable[[#This Row],[ProjectName]]&amp;DiscreteStatsTable[[#This Row],[Name]]&amp;DiscreteStatsTable[[#This Row],[Type]]&amp;DiscreteStatsTable[[#This Row],[Source]]</f>
        <v>Unnamed Projectdrilling.QueueWaiting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2.57120993326114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0.25318958815108233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0.31437639632723724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2.2907087944846198</v>
      </c>
      <c r="S5" cm="1">
        <f t="array" ref="S5">MAX(IF((DiscreteStatsTable[GroupByKey]=DiscreteStatsTable[[#This Row],[GroupByKey]]),(DiscreteStatsTable[GroupByKey]=DiscreteStatsTable[[#This Row],[GroupByKey]])*DiscreteStatsTable[Average]))</f>
        <v>2.9248366853315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136.33646832155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5982.6</v>
      </c>
      <c r="W5">
        <f>IF((DiscreteStatsTable[[#This Row],[RepsRequested]]&gt;1),DiscreteStatsTable[[#This Row],[HalfWidth]],DiscreteStatsTable[[#This Row],[BatchMeansHalfWidth]])</f>
        <v>0.31437639632723724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5</v>
      </c>
      <c r="D6" t="s">
        <v>78</v>
      </c>
      <c r="E6" t="s">
        <v>79</v>
      </c>
      <c r="F6" t="s">
        <v>80</v>
      </c>
      <c r="G6">
        <v>2.41711966535475</v>
      </c>
      <c r="H6">
        <v>0.218935904273522</v>
      </c>
      <c r="I6">
        <v>0</v>
      </c>
      <c r="J6">
        <v>62.125757803917601</v>
      </c>
      <c r="K6">
        <v>6074</v>
      </c>
      <c r="L6" t="str">
        <f>DiscreteStatsTable[[#This Row],[ProjectName]]&amp;DiscreteStatsTable[[#This Row],[Name]]&amp;DiscreteStatsTable[[#This Row],[Type]]&amp;DiscreteStatsTable[[#This Row],[Source]]</f>
        <v>Unnamed Projectdrilling.QueueWaiting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2.57120993326114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0.25318958815108233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0.31437639632723724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2.2907087944846198</v>
      </c>
      <c r="S6" cm="1">
        <f t="array" ref="S6">MAX(IF((DiscreteStatsTable[GroupByKey]=DiscreteStatsTable[[#This Row],[GroupByKey]]),(DiscreteStatsTable[GroupByKey]=DiscreteStatsTable[[#This Row],[GroupByKey]])*DiscreteStatsTable[Average]))</f>
        <v>2.9248366853315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136.33646832155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5982.6</v>
      </c>
      <c r="W6">
        <f>IF((DiscreteStatsTable[[#This Row],[RepsRequested]]&gt;1),DiscreteStatsTable[[#This Row],[HalfWidth]],DiscreteStatsTable[[#This Row],[BatchMeansHalfWidth]])</f>
        <v>0.31437639632723724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71</v>
      </c>
      <c r="F7" t="s">
        <v>72</v>
      </c>
      <c r="G7">
        <v>0</v>
      </c>
      <c r="H7">
        <v>0</v>
      </c>
      <c r="I7">
        <v>0</v>
      </c>
      <c r="J7">
        <v>0</v>
      </c>
      <c r="K7">
        <v>6021</v>
      </c>
      <c r="L7" t="str">
        <f>DiscreteStatsTable[[#This Row],[ProjectName]]&amp;DiscreteStatsTable[[#This Row],[Name]]&amp;DiscreteStatsTable[[#This Row],[Type]]&amp;DiscreteStatsTable[[#This Row],[Source]]</f>
        <v>Unnamed ProjectPartNVA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5982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1</v>
      </c>
      <c r="D8" t="s">
        <v>70</v>
      </c>
      <c r="E8" t="s">
        <v>73</v>
      </c>
      <c r="F8" t="s">
        <v>72</v>
      </c>
      <c r="G8">
        <v>0</v>
      </c>
      <c r="H8">
        <v>0</v>
      </c>
      <c r="I8">
        <v>0</v>
      </c>
      <c r="J8">
        <v>0</v>
      </c>
      <c r="K8">
        <v>6021</v>
      </c>
      <c r="L8" t="str">
        <f>DiscreteStatsTable[[#This Row],[ProjectName]]&amp;DiscreteStatsTable[[#This Row],[Name]]&amp;DiscreteStatsTable[[#This Row],[Type]]&amp;DiscreteStatsTable[[#This Row],[Source]]</f>
        <v>Unnamed ProjectPartOther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5982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1</v>
      </c>
      <c r="D9" t="s">
        <v>70</v>
      </c>
      <c r="E9" t="s">
        <v>74</v>
      </c>
      <c r="F9" t="s">
        <v>72</v>
      </c>
      <c r="G9">
        <v>4.0113316619212096</v>
      </c>
      <c r="H9">
        <v>0.56264889796987605</v>
      </c>
      <c r="I9">
        <v>8.3326658932492104E-4</v>
      </c>
      <c r="J9">
        <v>137.427704846853</v>
      </c>
      <c r="K9">
        <v>6021</v>
      </c>
      <c r="L9" t="str">
        <f>DiscreteStatsTable[[#This Row],[ProjectName]]&amp;DiscreteStatsTable[[#This Row],[Name]]&amp;DiscreteStatsTable[[#This Row],[Type]]&amp;DiscreteStatsTable[[#This Row],[Source]]</f>
        <v>Unnamed ProjectPartTotal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3.6337711189182995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0.27080557962601243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0.33624953873432234</v>
      </c>
      <c r="R9" cm="1">
        <f t="array" ref="R9">MIN(IF((DiscreteStatsTable[GroupByKey]=DiscreteStatsTable[[#This Row],[GroupByKey]]),(DiscreteStatsTable[GroupByKey]=DiscreteStatsTable[[#This Row],[GroupByKey]])*DiscreteStatsTable[Average]))</f>
        <v>3.3415625250772698</v>
      </c>
      <c r="S9" cm="1">
        <f t="array" ref="S9">MAX(IF((DiscreteStatsTable[GroupByKey]=DiscreteStatsTable[[#This Row],[GroupByKey]]),(DiscreteStatsTable[GroupByKey]=DiscreteStatsTable[[#This Row],[GroupByKey]])*DiscreteStatsTable[Average]))</f>
        <v>4.0113316619212096</v>
      </c>
      <c r="T9" cm="1">
        <f t="array" ref="T9">MIN(IF((DiscreteStatsTable[GroupByKey]=DiscreteStatsTable[[#This Row],[GroupByKey]]),(DiscreteStatsTable[GroupByKey]=DiscreteStatsTable[[#This Row],[GroupByKey]])*DiscreteStatsTable[Minimum]))</f>
        <v>5.7227824072469998E-5</v>
      </c>
      <c r="U9" cm="1">
        <f t="array" ref="U9">MAX(IF((DiscreteStatsTable[GroupByKey]=DiscreteStatsTable[[#This Row],[GroupByKey]]),(DiscreteStatsTable[GroupByKey]=DiscreteStatsTable[[#This Row],[GroupByKey]])*DiscreteStatsTable[Maximum]))</f>
        <v>137.427704846853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5982</v>
      </c>
      <c r="W9">
        <f>IF((DiscreteStatsTable[[#This Row],[RepsRequested]]&gt;1),DiscreteStatsTable[[#This Row],[HalfWidth]],DiscreteStatsTable[[#This Row],[BatchMeansHalfWidth]])</f>
        <v>0.33624953873432234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1</v>
      </c>
      <c r="D10" t="s">
        <v>70</v>
      </c>
      <c r="E10" t="s">
        <v>75</v>
      </c>
      <c r="F10" t="s">
        <v>72</v>
      </c>
      <c r="G10">
        <v>0</v>
      </c>
      <c r="H10">
        <v>0</v>
      </c>
      <c r="I10">
        <v>0</v>
      </c>
      <c r="J10">
        <v>0</v>
      </c>
      <c r="K10">
        <v>6021</v>
      </c>
      <c r="L10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5982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1</v>
      </c>
      <c r="D11" t="s">
        <v>70</v>
      </c>
      <c r="E11" t="s">
        <v>76</v>
      </c>
      <c r="F11" t="s">
        <v>72</v>
      </c>
      <c r="G11">
        <v>1.08787811730753</v>
      </c>
      <c r="H11">
        <v>2.3909849133663199E-2</v>
      </c>
      <c r="I11">
        <v>2.00793580461323E-4</v>
      </c>
      <c r="J11">
        <v>9.0113865707535297</v>
      </c>
      <c r="K11">
        <v>6021</v>
      </c>
      <c r="L11" t="str">
        <f>DiscreteStatsTable[[#This Row],[ProjectName]]&amp;DiscreteStatsTable[[#This Row],[Name]]&amp;DiscreteStatsTable[[#This Row],[Type]]&amp;DiscreteStatsTable[[#This Row],[Source]]</f>
        <v>Unnamed ProjectPartVA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1.062669655469596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1.9191098237774283E-2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2.3828895767836027E-2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1.0456104860509601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1.08787811730753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4.2869946810242302E-5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13.175664153644901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5982</v>
      </c>
      <c r="W11">
        <f>IF((DiscreteStatsTable[[#This Row],[RepsRequested]]&gt;1),DiscreteStatsTable[[#This Row],[HalfWidth]],DiscreteStatsTable[[#This Row],[BatchMeansHalfWidth]])</f>
        <v>2.3828895767836027E-2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1</v>
      </c>
      <c r="D12" t="s">
        <v>70</v>
      </c>
      <c r="E12" t="s">
        <v>77</v>
      </c>
      <c r="F12" t="s">
        <v>72</v>
      </c>
      <c r="G12">
        <v>2.9234535446136798</v>
      </c>
      <c r="H12">
        <v>0.54490112507881305</v>
      </c>
      <c r="I12">
        <v>0</v>
      </c>
      <c r="J12">
        <v>136.33646832155</v>
      </c>
      <c r="K12">
        <v>6021</v>
      </c>
      <c r="L12" t="str">
        <f>DiscreteStatsTable[[#This Row],[ProjectName]]&amp;DiscreteStatsTable[[#This Row],[Name]]&amp;DiscreteStatsTable[[#This Row],[Type]]&amp;DiscreteStatsTable[[#This Row],[Source]]</f>
        <v>Unnamed ProjectPartWait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2.5711014634487079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0.2527415025022049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0.31382002450891433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2.2907087944846198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2.9234535446136798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136.33646832155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5982</v>
      </c>
      <c r="W12">
        <f>IF((DiscreteStatsTable[[#This Row],[RepsRequested]]&gt;1),DiscreteStatsTable[[#This Row],[HalfWidth]],DiscreteStatsTable[[#This Row],[BatchMeansHalfWidth]])</f>
        <v>0.31382002450891433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71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5939</v>
      </c>
      <c r="L13" t="str">
        <f>DiscreteStatsTable[[#This Row],[ProjectName]]&amp;DiscreteStatsTable[[#This Row],[Name]]&amp;DiscreteStatsTable[[#This Row],[Type]]&amp;DiscreteStatsTable[[#This Row],[Source]]</f>
        <v>Unnamed ProjectPartNVA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5982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2</v>
      </c>
      <c r="D14" t="s">
        <v>70</v>
      </c>
      <c r="E14" t="s">
        <v>73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5939</v>
      </c>
      <c r="L14" t="str">
        <f>DiscreteStatsTable[[#This Row],[ProjectName]]&amp;DiscreteStatsTable[[#This Row],[Name]]&amp;DiscreteStatsTable[[#This Row],[Type]]&amp;DiscreteStatsTable[[#This Row],[Source]]</f>
        <v>Unnamed ProjectPartOther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5982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2</v>
      </c>
      <c r="D15" t="s">
        <v>70</v>
      </c>
      <c r="E15" t="s">
        <v>74</v>
      </c>
      <c r="F15" t="s">
        <v>72</v>
      </c>
      <c r="G15">
        <v>3.3415625250772698</v>
      </c>
      <c r="H15">
        <v>0.50477531609854698</v>
      </c>
      <c r="I15">
        <v>1.50379522801813E-3</v>
      </c>
      <c r="J15">
        <v>116.583754684239</v>
      </c>
      <c r="K15">
        <v>5939</v>
      </c>
      <c r="L15" t="str">
        <f>DiscreteStatsTable[[#This Row],[ProjectName]]&amp;DiscreteStatsTable[[#This Row],[Name]]&amp;DiscreteStatsTable[[#This Row],[Type]]&amp;DiscreteStatsTable[[#This Row],[Source]]</f>
        <v>Unnamed ProjectPartTotal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3.6337711189182995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0.27080557962601243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0.33624953873432234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3.3415625250772698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4.0113316619212096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5.7227824072469998E-5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137.427704846853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5982</v>
      </c>
      <c r="W15">
        <f>IF((DiscreteStatsTable[[#This Row],[RepsRequested]]&gt;1),DiscreteStatsTable[[#This Row],[HalfWidth]],DiscreteStatsTable[[#This Row],[BatchMeansHalfWidth]])</f>
        <v>0.33624953873432234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2</v>
      </c>
      <c r="D16" t="s">
        <v>70</v>
      </c>
      <c r="E16" t="s">
        <v>75</v>
      </c>
      <c r="F16" t="s">
        <v>72</v>
      </c>
      <c r="G16">
        <v>0</v>
      </c>
      <c r="H16">
        <v>0</v>
      </c>
      <c r="I16">
        <v>0</v>
      </c>
      <c r="J16">
        <v>0</v>
      </c>
      <c r="K16">
        <v>5939</v>
      </c>
      <c r="L16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5982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2</v>
      </c>
      <c r="D17" t="s">
        <v>70</v>
      </c>
      <c r="E17" t="s">
        <v>76</v>
      </c>
      <c r="F17" t="s">
        <v>72</v>
      </c>
      <c r="G17">
        <v>1.05085373059265</v>
      </c>
      <c r="H17">
        <v>2.3719921716751399E-2</v>
      </c>
      <c r="I17">
        <v>5.1016242468904195E-4</v>
      </c>
      <c r="J17">
        <v>8.8703006427385809</v>
      </c>
      <c r="K17">
        <v>5939</v>
      </c>
      <c r="L17" t="str">
        <f>DiscreteStatsTable[[#This Row],[ProjectName]]&amp;DiscreteStatsTable[[#This Row],[Name]]&amp;DiscreteStatsTable[[#This Row],[Type]]&amp;DiscreteStatsTable[[#This Row],[Source]]</f>
        <v>Unnamed ProjectPartVA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1.062669655469596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1.9191098237774283E-2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2.3828895767836027E-2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1.0456104860509601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1.08787811730753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4.2869946810242302E-5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13.175664153644901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5982</v>
      </c>
      <c r="W17">
        <f>IF((DiscreteStatsTable[[#This Row],[RepsRequested]]&gt;1),DiscreteStatsTable[[#This Row],[HalfWidth]],DiscreteStatsTable[[#This Row],[BatchMeansHalfWidth]])</f>
        <v>2.3828895767836027E-2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2</v>
      </c>
      <c r="D18" t="s">
        <v>70</v>
      </c>
      <c r="E18" t="s">
        <v>77</v>
      </c>
      <c r="F18" t="s">
        <v>72</v>
      </c>
      <c r="G18">
        <v>2.2907087944846198</v>
      </c>
      <c r="H18">
        <v>0.48676583335463502</v>
      </c>
      <c r="I18">
        <v>0</v>
      </c>
      <c r="J18">
        <v>116.230109730546</v>
      </c>
      <c r="K18">
        <v>5939</v>
      </c>
      <c r="L18" t="str">
        <f>DiscreteStatsTable[[#This Row],[ProjectName]]&amp;DiscreteStatsTable[[#This Row],[Name]]&amp;DiscreteStatsTable[[#This Row],[Type]]&amp;DiscreteStatsTable[[#This Row],[Source]]</f>
        <v>Unnamed ProjectPartWait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2.5711014634487079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0.2527415025022049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0.31382002450891433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2.2907087944846198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2.9234535446136798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136.33646832155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5982</v>
      </c>
      <c r="W18">
        <f>IF((DiscreteStatsTable[[#This Row],[RepsRequested]]&gt;1),DiscreteStatsTable[[#This Row],[HalfWidth]],DiscreteStatsTable[[#This Row],[BatchMeansHalfWidth]])</f>
        <v>0.31382002450891433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71</v>
      </c>
      <c r="F19" t="s">
        <v>72</v>
      </c>
      <c r="G19">
        <v>0</v>
      </c>
      <c r="H19">
        <v>0</v>
      </c>
      <c r="I19">
        <v>0</v>
      </c>
      <c r="J19">
        <v>0</v>
      </c>
      <c r="K19">
        <v>5979</v>
      </c>
      <c r="L19" t="str">
        <f>DiscreteStatsTable[[#This Row],[ProjectName]]&amp;DiscreteStatsTable[[#This Row],[Name]]&amp;DiscreteStatsTable[[#This Row],[Type]]&amp;DiscreteStatsTable[[#This Row],[Source]]</f>
        <v>Unnamed ProjectPartNVA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5982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3</v>
      </c>
      <c r="D20" t="s">
        <v>70</v>
      </c>
      <c r="E20" t="s">
        <v>73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5979</v>
      </c>
      <c r="L20" t="str">
        <f>DiscreteStatsTable[[#This Row],[ProjectName]]&amp;DiscreteStatsTable[[#This Row],[Name]]&amp;DiscreteStatsTable[[#This Row],[Type]]&amp;DiscreteStatsTable[[#This Row],[Source]]</f>
        <v>Unnamed ProjectPartOther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5982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3</v>
      </c>
      <c r="D21" t="s">
        <v>70</v>
      </c>
      <c r="E21" t="s">
        <v>74</v>
      </c>
      <c r="F21" t="s">
        <v>72</v>
      </c>
      <c r="G21">
        <v>3.5491823016470101</v>
      </c>
      <c r="H21">
        <v>0.58599191535616701</v>
      </c>
      <c r="I21">
        <v>5.7227824072469998E-5</v>
      </c>
      <c r="J21">
        <v>110.811750238187</v>
      </c>
      <c r="K21">
        <v>5979</v>
      </c>
      <c r="L21" t="str">
        <f>DiscreteStatsTable[[#This Row],[ProjectName]]&amp;DiscreteStatsTable[[#This Row],[Name]]&amp;DiscreteStatsTable[[#This Row],[Type]]&amp;DiscreteStatsTable[[#This Row],[Source]]</f>
        <v>Unnamed ProjectPartTotal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3.6337711189182995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0.27080557962601243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0.33624953873432234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3.3415625250772698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4.0113316619212096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5.7227824072469998E-5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137.427704846853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5982</v>
      </c>
      <c r="W21">
        <f>IF((DiscreteStatsTable[[#This Row],[RepsRequested]]&gt;1),DiscreteStatsTable[[#This Row],[HalfWidth]],DiscreteStatsTable[[#This Row],[BatchMeansHalfWidth]])</f>
        <v>0.33624953873432234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3</v>
      </c>
      <c r="D22" t="s">
        <v>70</v>
      </c>
      <c r="E22" t="s">
        <v>75</v>
      </c>
      <c r="F22" t="s">
        <v>72</v>
      </c>
      <c r="G22">
        <v>0</v>
      </c>
      <c r="H22">
        <v>0</v>
      </c>
      <c r="I22">
        <v>0</v>
      </c>
      <c r="J22">
        <v>0</v>
      </c>
      <c r="K22">
        <v>5979</v>
      </c>
      <c r="L22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5982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3</v>
      </c>
      <c r="D23" t="s">
        <v>70</v>
      </c>
      <c r="E23" t="s">
        <v>76</v>
      </c>
      <c r="F23" t="s">
        <v>72</v>
      </c>
      <c r="G23">
        <v>1.0503542434991799</v>
      </c>
      <c r="H23">
        <v>2.8739809908783699E-2</v>
      </c>
      <c r="I23">
        <v>5.7227824072469998E-5</v>
      </c>
      <c r="J23">
        <v>13.175664153644901</v>
      </c>
      <c r="K23">
        <v>5979</v>
      </c>
      <c r="L23" t="str">
        <f>DiscreteStatsTable[[#This Row],[ProjectName]]&amp;DiscreteStatsTable[[#This Row],[Name]]&amp;DiscreteStatsTable[[#This Row],[Type]]&amp;DiscreteStatsTable[[#This Row],[Source]]</f>
        <v>Unnamed ProjectPartVA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1.062669655469596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1.9191098237774283E-2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2.3828895767836027E-2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1.0456104860509601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1.08787811730753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4.2869946810242302E-5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13.175664153644901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5982</v>
      </c>
      <c r="W23">
        <f>IF((DiscreteStatsTable[[#This Row],[RepsRequested]]&gt;1),DiscreteStatsTable[[#This Row],[HalfWidth]],DiscreteStatsTable[[#This Row],[BatchMeansHalfWidth]])</f>
        <v>2.3828895767836027E-2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3</v>
      </c>
      <c r="D24" t="s">
        <v>70</v>
      </c>
      <c r="E24" t="s">
        <v>77</v>
      </c>
      <c r="F24" t="s">
        <v>72</v>
      </c>
      <c r="G24">
        <v>2.4988280581478399</v>
      </c>
      <c r="H24">
        <v>0.571195788030889</v>
      </c>
      <c r="I24">
        <v>0</v>
      </c>
      <c r="J24">
        <v>107.16065196736101</v>
      </c>
      <c r="K24">
        <v>5979</v>
      </c>
      <c r="L24" t="str">
        <f>DiscreteStatsTable[[#This Row],[ProjectName]]&amp;DiscreteStatsTable[[#This Row],[Name]]&amp;DiscreteStatsTable[[#This Row],[Type]]&amp;DiscreteStatsTable[[#This Row],[Source]]</f>
        <v>Unnamed ProjectPartWait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2.5711014634487079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0.2527415025022049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0.31382002450891433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2.2907087944846198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2.9234535446136798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136.33646832155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5982</v>
      </c>
      <c r="W24">
        <f>IF((DiscreteStatsTable[[#This Row],[RepsRequested]]&gt;1),DiscreteStatsTable[[#This Row],[HalfWidth]],DiscreteStatsTable[[#This Row],[BatchMeansHalfWidth]])</f>
        <v>0.31382002450891433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71</v>
      </c>
      <c r="F25" t="s">
        <v>72</v>
      </c>
      <c r="G25">
        <v>0</v>
      </c>
      <c r="H25">
        <v>0</v>
      </c>
      <c r="I25">
        <v>0</v>
      </c>
      <c r="J25">
        <v>0</v>
      </c>
      <c r="K25">
        <v>5897</v>
      </c>
      <c r="L25" t="str">
        <f>DiscreteStatsTable[[#This Row],[ProjectName]]&amp;DiscreteStatsTable[[#This Row],[Name]]&amp;DiscreteStatsTable[[#This Row],[Type]]&amp;DiscreteStatsTable[[#This Row],[Source]]</f>
        <v>Unnamed ProjectPartNVA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5982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4</v>
      </c>
      <c r="D26" t="s">
        <v>70</v>
      </c>
      <c r="E26" t="s">
        <v>73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5897</v>
      </c>
      <c r="L26" t="str">
        <f>DiscreteStatsTable[[#This Row],[ProjectName]]&amp;DiscreteStatsTable[[#This Row],[Name]]&amp;DiscreteStatsTable[[#This Row],[Type]]&amp;DiscreteStatsTable[[#This Row],[Source]]</f>
        <v>Unnamed ProjectPartOther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5982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4</v>
      </c>
      <c r="D27" t="s">
        <v>70</v>
      </c>
      <c r="E27" t="s">
        <v>74</v>
      </c>
      <c r="F27" t="s">
        <v>72</v>
      </c>
      <c r="G27">
        <v>3.8040489545403098</v>
      </c>
      <c r="H27">
        <v>0.78328237370487297</v>
      </c>
      <c r="I27">
        <v>1.20950988275581E-3</v>
      </c>
      <c r="J27">
        <v>133.02275152036299</v>
      </c>
      <c r="K27">
        <v>5897</v>
      </c>
      <c r="L27" t="str">
        <f>DiscreteStatsTable[[#This Row],[ProjectName]]&amp;DiscreteStatsTable[[#This Row],[Name]]&amp;DiscreteStatsTable[[#This Row],[Type]]&amp;DiscreteStatsTable[[#This Row],[Source]]</f>
        <v>Unnamed ProjectPartTotal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3.6337711189182995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0.27080557962601243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0.33624953873432234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3.3415625250772698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4.0113316619212096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5.7227824072469998E-5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137.427704846853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5982</v>
      </c>
      <c r="W27">
        <f>IF((DiscreteStatsTable[[#This Row],[RepsRequested]]&gt;1),DiscreteStatsTable[[#This Row],[HalfWidth]],DiscreteStatsTable[[#This Row],[BatchMeansHalfWidth]])</f>
        <v>0.33624953873432234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4</v>
      </c>
      <c r="D28" t="s">
        <v>70</v>
      </c>
      <c r="E28" t="s">
        <v>75</v>
      </c>
      <c r="F28" t="s">
        <v>72</v>
      </c>
      <c r="G28">
        <v>0</v>
      </c>
      <c r="H28">
        <v>0</v>
      </c>
      <c r="I28">
        <v>0</v>
      </c>
      <c r="J28">
        <v>0</v>
      </c>
      <c r="K28">
        <v>5897</v>
      </c>
      <c r="L2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5982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4</v>
      </c>
      <c r="D29" t="s">
        <v>70</v>
      </c>
      <c r="E29" t="s">
        <v>76</v>
      </c>
      <c r="F29" t="s">
        <v>72</v>
      </c>
      <c r="G29">
        <v>1.0786516998976601</v>
      </c>
      <c r="H29">
        <v>2.9711587635236E-2</v>
      </c>
      <c r="I29">
        <v>4.2869946810242302E-5</v>
      </c>
      <c r="J29">
        <v>10.605162390676901</v>
      </c>
      <c r="K29">
        <v>5897</v>
      </c>
      <c r="L29" t="str">
        <f>DiscreteStatsTable[[#This Row],[ProjectName]]&amp;DiscreteStatsTable[[#This Row],[Name]]&amp;DiscreteStatsTable[[#This Row],[Type]]&amp;DiscreteStatsTable[[#This Row],[Source]]</f>
        <v>Unnamed ProjectPartVA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1.062669655469596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1.9191098237774283E-2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2.3828895767836027E-2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1.0456104860509601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1.08787811730753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4.2869946810242302E-5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13.175664153644901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5982</v>
      </c>
      <c r="W29">
        <f>IF((DiscreteStatsTable[[#This Row],[RepsRequested]]&gt;1),DiscreteStatsTable[[#This Row],[HalfWidth]],DiscreteStatsTable[[#This Row],[BatchMeansHalfWidth]])</f>
        <v>2.3828895767836027E-2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4</v>
      </c>
      <c r="D30" t="s">
        <v>70</v>
      </c>
      <c r="E30" t="s">
        <v>77</v>
      </c>
      <c r="F30" t="s">
        <v>72</v>
      </c>
      <c r="G30">
        <v>2.7253972546426501</v>
      </c>
      <c r="H30">
        <v>0.76311054611225304</v>
      </c>
      <c r="I30">
        <v>0</v>
      </c>
      <c r="J30">
        <v>131.16571952923999</v>
      </c>
      <c r="K30">
        <v>5897</v>
      </c>
      <c r="L30" t="str">
        <f>DiscreteStatsTable[[#This Row],[ProjectName]]&amp;DiscreteStatsTable[[#This Row],[Name]]&amp;DiscreteStatsTable[[#This Row],[Type]]&amp;DiscreteStatsTable[[#This Row],[Source]]</f>
        <v>Unnamed ProjectPartWait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2.5711014634487079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0.2527415025022049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0.31382002450891433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2.2907087944846198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2.9234535446136798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136.33646832155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5982</v>
      </c>
      <c r="W30">
        <f>IF((DiscreteStatsTable[[#This Row],[RepsRequested]]&gt;1),DiscreteStatsTable[[#This Row],[HalfWidth]],DiscreteStatsTable[[#This Row],[BatchMeansHalfWidth]])</f>
        <v>0.31382002450891433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71</v>
      </c>
      <c r="F31" t="s">
        <v>72</v>
      </c>
      <c r="G31">
        <v>0</v>
      </c>
      <c r="H31">
        <v>0</v>
      </c>
      <c r="I31">
        <v>0</v>
      </c>
      <c r="J31">
        <v>0</v>
      </c>
      <c r="K31">
        <v>6074</v>
      </c>
      <c r="L31" t="str">
        <f>DiscreteStatsTable[[#This Row],[ProjectName]]&amp;DiscreteStatsTable[[#This Row],[Name]]&amp;DiscreteStatsTable[[#This Row],[Type]]&amp;DiscreteStatsTable[[#This Row],[Source]]</f>
        <v>Unnamed ProjectPartNVA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5982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5</v>
      </c>
      <c r="D32" t="s">
        <v>70</v>
      </c>
      <c r="E32" t="s">
        <v>73</v>
      </c>
      <c r="F32" t="s">
        <v>72</v>
      </c>
      <c r="G32">
        <v>0</v>
      </c>
      <c r="H32">
        <v>0</v>
      </c>
      <c r="I32">
        <v>0</v>
      </c>
      <c r="J32">
        <v>0</v>
      </c>
      <c r="K32">
        <v>6074</v>
      </c>
      <c r="L32" t="str">
        <f>DiscreteStatsTable[[#This Row],[ProjectName]]&amp;DiscreteStatsTable[[#This Row],[Name]]&amp;DiscreteStatsTable[[#This Row],[Type]]&amp;DiscreteStatsTable[[#This Row],[Source]]</f>
        <v>Unnamed ProjectPartOther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5982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5</v>
      </c>
      <c r="D33" t="s">
        <v>70</v>
      </c>
      <c r="E33" t="s">
        <v>74</v>
      </c>
      <c r="F33" t="s">
        <v>72</v>
      </c>
      <c r="G33">
        <v>3.4627301514057001</v>
      </c>
      <c r="H33">
        <v>0.23317884875830699</v>
      </c>
      <c r="I33">
        <v>1.5216440783660801E-4</v>
      </c>
      <c r="J33">
        <v>63.049882910993297</v>
      </c>
      <c r="K33">
        <v>6074</v>
      </c>
      <c r="L33" t="str">
        <f>DiscreteStatsTable[[#This Row],[ProjectName]]&amp;DiscreteStatsTable[[#This Row],[Name]]&amp;DiscreteStatsTable[[#This Row],[Type]]&amp;DiscreteStatsTable[[#This Row],[Source]]</f>
        <v>Unnamed ProjectPartTotal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3.6337711189182995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0.27080557962601243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0.33624953873432234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3.3415625250772698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4.0113316619212096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5.7227824072469998E-5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137.427704846853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5982</v>
      </c>
      <c r="W33">
        <f>IF((DiscreteStatsTable[[#This Row],[RepsRequested]]&gt;1),DiscreteStatsTable[[#This Row],[HalfWidth]],DiscreteStatsTable[[#This Row],[BatchMeansHalfWidth]])</f>
        <v>0.33624953873432234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5</v>
      </c>
      <c r="D34" t="s">
        <v>70</v>
      </c>
      <c r="E34" t="s">
        <v>75</v>
      </c>
      <c r="F34" t="s">
        <v>72</v>
      </c>
      <c r="G34">
        <v>0</v>
      </c>
      <c r="H34">
        <v>0</v>
      </c>
      <c r="I34">
        <v>0</v>
      </c>
      <c r="J34">
        <v>0</v>
      </c>
      <c r="K34">
        <v>6074</v>
      </c>
      <c r="L34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5982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5</v>
      </c>
      <c r="D35" t="s">
        <v>70</v>
      </c>
      <c r="E35" t="s">
        <v>76</v>
      </c>
      <c r="F35" t="s">
        <v>72</v>
      </c>
      <c r="G35">
        <v>1.0456104860509601</v>
      </c>
      <c r="H35">
        <v>3.0597577746780701E-2</v>
      </c>
      <c r="I35">
        <v>1.04249281321245E-4</v>
      </c>
      <c r="J35">
        <v>11.17802678718</v>
      </c>
      <c r="K35">
        <v>6074</v>
      </c>
      <c r="L35" t="str">
        <f>DiscreteStatsTable[[#This Row],[ProjectName]]&amp;DiscreteStatsTable[[#This Row],[Name]]&amp;DiscreteStatsTable[[#This Row],[Type]]&amp;DiscreteStatsTable[[#This Row],[Source]]</f>
        <v>Unnamed ProjectPartVA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1.062669655469596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1.9191098237774283E-2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2.3828895767836027E-2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1.0456104860509601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1.08787811730753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4.2869946810242302E-5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13.175664153644901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5982</v>
      </c>
      <c r="W35">
        <f>IF((DiscreteStatsTable[[#This Row],[RepsRequested]]&gt;1),DiscreteStatsTable[[#This Row],[HalfWidth]],DiscreteStatsTable[[#This Row],[BatchMeansHalfWidth]])</f>
        <v>2.3828895767836027E-2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5</v>
      </c>
      <c r="D36" t="s">
        <v>70</v>
      </c>
      <c r="E36" t="s">
        <v>77</v>
      </c>
      <c r="F36" t="s">
        <v>72</v>
      </c>
      <c r="G36">
        <v>2.41711966535475</v>
      </c>
      <c r="H36">
        <v>0.218935904273522</v>
      </c>
      <c r="I36">
        <v>0</v>
      </c>
      <c r="J36">
        <v>62.125757803917601</v>
      </c>
      <c r="K36">
        <v>6074</v>
      </c>
      <c r="L36" t="str">
        <f>DiscreteStatsTable[[#This Row],[ProjectName]]&amp;DiscreteStatsTable[[#This Row],[Name]]&amp;DiscreteStatsTable[[#This Row],[Type]]&amp;DiscreteStatsTable[[#This Row],[Source]]</f>
        <v>Unnamed ProjectPartWait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2.5711014634487079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0.2527415025022049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0.31382002450891433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2.2907087944846198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2.9234535446136798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136.33646832155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5982</v>
      </c>
      <c r="W36">
        <f>IF((DiscreteStatsTable[[#This Row],[RepsRequested]]&gt;1),DiscreteStatsTable[[#This Row],[HalfWidth]],DiscreteStatsTable[[#This Row],[BatchMeansHalfWidth]])</f>
        <v>0.31382002450891433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/>
    <row r="38" spans="1:25" x14ac:dyDescent="0.3"/>
    <row r="39" spans="1:25" x14ac:dyDescent="0.3"/>
    <row r="40" spans="1:25" x14ac:dyDescent="0.3"/>
    <row r="41" spans="1:25" x14ac:dyDescent="0.3"/>
    <row r="42" spans="1:25" x14ac:dyDescent="0.3"/>
    <row r="43" spans="1:25" x14ac:dyDescent="0.3"/>
    <row r="44" spans="1:25" x14ac:dyDescent="0.3"/>
    <row r="45" spans="1:25" x14ac:dyDescent="0.3"/>
    <row r="46" spans="1:25" x14ac:dyDescent="0.3"/>
    <row r="47" spans="1:25" x14ac:dyDescent="0.3"/>
    <row r="48" spans="1:25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2.41406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0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81</v>
      </c>
      <c r="E2" t="s">
        <v>82</v>
      </c>
      <c r="F2" t="s">
        <v>83</v>
      </c>
      <c r="G2">
        <v>0.72787459152016798</v>
      </c>
      <c r="H2">
        <v>2.9021698702359201E-2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0.69344670066552505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0.72787459152016798</v>
      </c>
      <c r="U2">
        <f>IF((ContinuousStatsTable[[#This Row],[RepsRequested]]&gt;1),ContinuousStatsTable[[#This Row],[HalfWidth]],ContinuousStatsTable[[#This Row],[BatchMeansHalfWidth]])</f>
        <v>1.6392073596320996E-2</v>
      </c>
    </row>
    <row r="3" spans="1:21" x14ac:dyDescent="0.3">
      <c r="A3" t="s">
        <v>66</v>
      </c>
      <c r="B3" t="s">
        <v>69</v>
      </c>
      <c r="C3">
        <v>1</v>
      </c>
      <c r="D3" t="s">
        <v>81</v>
      </c>
      <c r="E3" t="s">
        <v>84</v>
      </c>
      <c r="F3" t="s">
        <v>83</v>
      </c>
      <c r="G3">
        <v>0.72787459152016798</v>
      </c>
      <c r="H3">
        <v>2.9021698702359201E-2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0.69344670066552505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0.72787459152016798</v>
      </c>
      <c r="U3">
        <f>IF((ContinuousStatsTable[[#This Row],[RepsRequested]]&gt;1),ContinuousStatsTable[[#This Row],[HalfWidth]],ContinuousStatsTable[[#This Row],[BatchMeansHalfWidth]])</f>
        <v>1.6392073596320996E-2</v>
      </c>
    </row>
    <row r="4" spans="1:21" x14ac:dyDescent="0.3">
      <c r="A4" t="s">
        <v>66</v>
      </c>
      <c r="B4" t="s">
        <v>69</v>
      </c>
      <c r="C4">
        <v>1</v>
      </c>
      <c r="D4" t="s">
        <v>81</v>
      </c>
      <c r="E4" t="s">
        <v>85</v>
      </c>
      <c r="F4" t="s">
        <v>83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A5" t="s">
        <v>66</v>
      </c>
      <c r="B5" t="s">
        <v>69</v>
      </c>
      <c r="C5">
        <v>1</v>
      </c>
      <c r="D5" t="s">
        <v>70</v>
      </c>
      <c r="E5" t="s">
        <v>86</v>
      </c>
      <c r="F5" t="s">
        <v>72</v>
      </c>
      <c r="G5">
        <v>2.70660486539925</v>
      </c>
      <c r="H5">
        <v>0.456023667360551</v>
      </c>
      <c r="I5">
        <v>0</v>
      </c>
      <c r="J5">
        <v>24</v>
      </c>
      <c r="K5">
        <v>12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2.41994083909927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0.18991691253326218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0.23581299294256483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2.2050599818259999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2.70660486539925</v>
      </c>
      <c r="U5">
        <f>IF((ContinuousStatsTable[[#This Row],[RepsRequested]]&gt;1),ContinuousStatsTable[[#This Row],[HalfWidth]],ContinuousStatsTable[[#This Row],[BatchMeansHalfWidth]])</f>
        <v>0.23581299294256483</v>
      </c>
    </row>
    <row r="6" spans="1:21" x14ac:dyDescent="0.3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1.97873027387908</v>
      </c>
      <c r="H6">
        <v>0.431473889678884</v>
      </c>
      <c r="I6">
        <v>0</v>
      </c>
      <c r="J6">
        <v>23</v>
      </c>
      <c r="K6">
        <v>11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Projectdrilling.QueueNumber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1.713553485880664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0.17741864542382024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0.22029434463283656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1.5116132811604599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1.97873027387908</v>
      </c>
      <c r="U6">
        <f>IF((ContinuousStatsTable[[#This Row],[RepsRequested]]&gt;1),ContinuousStatsTable[[#This Row],[HalfWidth]],ContinuousStatsTable[[#This Row],[BatchMeansHalfWidth]])</f>
        <v>0.22029434463283656</v>
      </c>
    </row>
    <row r="7" spans="1:21" x14ac:dyDescent="0.3">
      <c r="A7" t="s">
        <v>66</v>
      </c>
      <c r="B7" t="s">
        <v>69</v>
      </c>
      <c r="C7">
        <v>2</v>
      </c>
      <c r="D7" t="s">
        <v>81</v>
      </c>
      <c r="E7" t="s">
        <v>82</v>
      </c>
      <c r="F7" t="s">
        <v>83</v>
      </c>
      <c r="G7">
        <v>0.69344670066552505</v>
      </c>
      <c r="H7">
        <v>2.4450855455447201E-2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0.69344670066552505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0.72787459152016798</v>
      </c>
      <c r="U7">
        <f>IF((ContinuousStatsTable[[#This Row],[RepsRequested]]&gt;1),ContinuousStatsTable[[#This Row],[HalfWidth]],ContinuousStatsTable[[#This Row],[BatchMeansHalfWidth]])</f>
        <v>1.6392073596320996E-2</v>
      </c>
    </row>
    <row r="8" spans="1:21" x14ac:dyDescent="0.3">
      <c r="A8" t="s">
        <v>66</v>
      </c>
      <c r="B8" t="s">
        <v>69</v>
      </c>
      <c r="C8">
        <v>2</v>
      </c>
      <c r="D8" t="s">
        <v>81</v>
      </c>
      <c r="E8" t="s">
        <v>84</v>
      </c>
      <c r="F8" t="s">
        <v>83</v>
      </c>
      <c r="G8">
        <v>0.69344670066552505</v>
      </c>
      <c r="H8">
        <v>2.4450855455447201E-2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0.69344670066552505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0.72787459152016798</v>
      </c>
      <c r="U8">
        <f>IF((ContinuousStatsTable[[#This Row],[RepsRequested]]&gt;1),ContinuousStatsTable[[#This Row],[HalfWidth]],ContinuousStatsTable[[#This Row],[BatchMeansHalfWidth]])</f>
        <v>1.6392073596320996E-2</v>
      </c>
    </row>
    <row r="9" spans="1:21" x14ac:dyDescent="0.3">
      <c r="A9" t="s">
        <v>66</v>
      </c>
      <c r="B9" t="s">
        <v>69</v>
      </c>
      <c r="C9">
        <v>2</v>
      </c>
      <c r="D9" t="s">
        <v>81</v>
      </c>
      <c r="E9" t="s">
        <v>85</v>
      </c>
      <c r="F9" t="s">
        <v>83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3">
      <c r="A10" t="s">
        <v>66</v>
      </c>
      <c r="B10" t="s">
        <v>69</v>
      </c>
      <c r="C10">
        <v>2</v>
      </c>
      <c r="D10" t="s">
        <v>70</v>
      </c>
      <c r="E10" t="s">
        <v>86</v>
      </c>
      <c r="F10" t="s">
        <v>72</v>
      </c>
      <c r="G10">
        <v>2.2050599818259999</v>
      </c>
      <c r="H10">
        <v>0.34081104905526199</v>
      </c>
      <c r="I10">
        <v>0</v>
      </c>
      <c r="J10">
        <v>20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2.41994083909927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0.18991691253326218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0.23581299294256483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2.2050599818259999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2.70660486539925</v>
      </c>
      <c r="U10">
        <f>IF((ContinuousStatsTable[[#This Row],[RepsRequested]]&gt;1),ContinuousStatsTable[[#This Row],[HalfWidth]],ContinuousStatsTable[[#This Row],[BatchMeansHalfWidth]])</f>
        <v>0.23581299294256483</v>
      </c>
    </row>
    <row r="11" spans="1:21" x14ac:dyDescent="0.3">
      <c r="A11" t="s">
        <v>66</v>
      </c>
      <c r="B11" t="s">
        <v>69</v>
      </c>
      <c r="C11">
        <v>2</v>
      </c>
      <c r="D11" t="s">
        <v>78</v>
      </c>
      <c r="E11" t="s">
        <v>87</v>
      </c>
      <c r="F11" t="s">
        <v>80</v>
      </c>
      <c r="G11">
        <v>1.5116132811604599</v>
      </c>
      <c r="H11">
        <v>0.32263627228638397</v>
      </c>
      <c r="I11">
        <v>0</v>
      </c>
      <c r="J11">
        <v>19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Projectdrilling.QueueNumber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1.713553485880664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0.17741864542382024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0.22029434463283656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1.5116132811604599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1.97873027387908</v>
      </c>
      <c r="U11">
        <f>IF((ContinuousStatsTable[[#This Row],[RepsRequested]]&gt;1),ContinuousStatsTable[[#This Row],[HalfWidth]],ContinuousStatsTable[[#This Row],[BatchMeansHalfWidth]])</f>
        <v>0.22029434463283656</v>
      </c>
    </row>
    <row r="12" spans="1:21" x14ac:dyDescent="0.3">
      <c r="A12" t="s">
        <v>66</v>
      </c>
      <c r="B12" t="s">
        <v>69</v>
      </c>
      <c r="C12">
        <v>3</v>
      </c>
      <c r="D12" t="s">
        <v>81</v>
      </c>
      <c r="E12" t="s">
        <v>82</v>
      </c>
      <c r="F12" t="s">
        <v>83</v>
      </c>
      <c r="G12">
        <v>0.69818225970641101</v>
      </c>
      <c r="H12">
        <v>2.5024068224139401E-2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0.69344670066552505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0.72787459152016798</v>
      </c>
      <c r="U12" s="5">
        <f>IF((ContinuousStatsTable[[#This Row],[RepsRequested]]&gt;1),ContinuousStatsTable[[#This Row],[HalfWidth]],ContinuousStatsTable[[#This Row],[BatchMeansHalfWidth]])</f>
        <v>1.6392073596320996E-2</v>
      </c>
    </row>
    <row r="13" spans="1:21" x14ac:dyDescent="0.3">
      <c r="A13" t="s">
        <v>66</v>
      </c>
      <c r="B13" t="s">
        <v>69</v>
      </c>
      <c r="C13">
        <v>3</v>
      </c>
      <c r="D13" t="s">
        <v>81</v>
      </c>
      <c r="E13" t="s">
        <v>84</v>
      </c>
      <c r="F13" t="s">
        <v>83</v>
      </c>
      <c r="G13">
        <v>0.69818225970641101</v>
      </c>
      <c r="H13">
        <v>2.5024068224139401E-2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0.69344670066552505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0.72787459152016798</v>
      </c>
      <c r="U13" s="5">
        <f>IF((ContinuousStatsTable[[#This Row],[RepsRequested]]&gt;1),ContinuousStatsTable[[#This Row],[HalfWidth]],ContinuousStatsTable[[#This Row],[BatchMeansHalfWidth]])</f>
        <v>1.6392073596320996E-2</v>
      </c>
    </row>
    <row r="14" spans="1:21" x14ac:dyDescent="0.3">
      <c r="A14" t="s">
        <v>66</v>
      </c>
      <c r="B14" t="s">
        <v>69</v>
      </c>
      <c r="C14">
        <v>3</v>
      </c>
      <c r="D14" t="s">
        <v>81</v>
      </c>
      <c r="E14" t="s">
        <v>85</v>
      </c>
      <c r="F14" t="s">
        <v>83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3">
      <c r="A15" t="s">
        <v>66</v>
      </c>
      <c r="B15" t="s">
        <v>69</v>
      </c>
      <c r="C15">
        <v>3</v>
      </c>
      <c r="D15" t="s">
        <v>70</v>
      </c>
      <c r="E15" t="s">
        <v>86</v>
      </c>
      <c r="F15" t="s">
        <v>72</v>
      </c>
      <c r="G15">
        <v>2.35855241970867</v>
      </c>
      <c r="H15">
        <v>0.37191371378715898</v>
      </c>
      <c r="I15">
        <v>0</v>
      </c>
      <c r="J15">
        <v>20</v>
      </c>
      <c r="K15">
        <v>2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2.41994083909927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0.18991691253326218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0.23581299294256483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2.2050599818259999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2.70660486539925</v>
      </c>
      <c r="U15" s="5">
        <f>IF((ContinuousStatsTable[[#This Row],[RepsRequested]]&gt;1),ContinuousStatsTable[[#This Row],[HalfWidth]],ContinuousStatsTable[[#This Row],[BatchMeansHalfWidth]])</f>
        <v>0.23581299294256483</v>
      </c>
    </row>
    <row r="16" spans="1:21" x14ac:dyDescent="0.3">
      <c r="A16" t="s">
        <v>66</v>
      </c>
      <c r="B16" t="s">
        <v>69</v>
      </c>
      <c r="C16">
        <v>3</v>
      </c>
      <c r="D16" t="s">
        <v>78</v>
      </c>
      <c r="E16" t="s">
        <v>87</v>
      </c>
      <c r="F16" t="s">
        <v>80</v>
      </c>
      <c r="G16">
        <v>1.66037016000225</v>
      </c>
      <c r="H16">
        <v>0.35501015606208902</v>
      </c>
      <c r="I16">
        <v>0</v>
      </c>
      <c r="J16">
        <v>19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Projectdrilling.QueueNumber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1.713553485880664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0.17741864542382024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0.22029434463283656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1.5116132811604599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1.97873027387908</v>
      </c>
      <c r="U16" s="5">
        <f>IF((ContinuousStatsTable[[#This Row],[RepsRequested]]&gt;1),ContinuousStatsTable[[#This Row],[HalfWidth]],ContinuousStatsTable[[#This Row],[BatchMeansHalfWidth]])</f>
        <v>0.22029434463283656</v>
      </c>
    </row>
    <row r="17" spans="1:21" x14ac:dyDescent="0.3">
      <c r="A17" t="s">
        <v>66</v>
      </c>
      <c r="B17" t="s">
        <v>69</v>
      </c>
      <c r="C17">
        <v>4</v>
      </c>
      <c r="D17" t="s">
        <v>81</v>
      </c>
      <c r="E17" t="s">
        <v>82</v>
      </c>
      <c r="F17" t="s">
        <v>83</v>
      </c>
      <c r="G17">
        <v>0.70676231505940301</v>
      </c>
      <c r="H17">
        <v>2.91439847187011E-2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0.69344670066552505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0.72787459152016798</v>
      </c>
      <c r="U17" s="5">
        <f>IF((ContinuousStatsTable[[#This Row],[RepsRequested]]&gt;1),ContinuousStatsTable[[#This Row],[HalfWidth]],ContinuousStatsTable[[#This Row],[BatchMeansHalfWidth]])</f>
        <v>1.6392073596320996E-2</v>
      </c>
    </row>
    <row r="18" spans="1:21" x14ac:dyDescent="0.3">
      <c r="A18" t="s">
        <v>66</v>
      </c>
      <c r="B18" t="s">
        <v>69</v>
      </c>
      <c r="C18">
        <v>4</v>
      </c>
      <c r="D18" t="s">
        <v>81</v>
      </c>
      <c r="E18" t="s">
        <v>84</v>
      </c>
      <c r="F18" t="s">
        <v>83</v>
      </c>
      <c r="G18">
        <v>0.70676231505940301</v>
      </c>
      <c r="H18">
        <v>2.91439847187011E-2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0.69344670066552505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0.72787459152016798</v>
      </c>
      <c r="U18" s="5">
        <f>IF((ContinuousStatsTable[[#This Row],[RepsRequested]]&gt;1),ContinuousStatsTable[[#This Row],[HalfWidth]],ContinuousStatsTable[[#This Row],[BatchMeansHalfWidth]])</f>
        <v>1.6392073596320996E-2</v>
      </c>
    </row>
    <row r="19" spans="1:21" x14ac:dyDescent="0.3">
      <c r="A19" t="s">
        <v>66</v>
      </c>
      <c r="B19" t="s">
        <v>69</v>
      </c>
      <c r="C19">
        <v>4</v>
      </c>
      <c r="D19" t="s">
        <v>81</v>
      </c>
      <c r="E19" t="s">
        <v>85</v>
      </c>
      <c r="F19" t="s">
        <v>83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3">
      <c r="A20" t="s">
        <v>66</v>
      </c>
      <c r="B20" t="s">
        <v>69</v>
      </c>
      <c r="C20">
        <v>4</v>
      </c>
      <c r="D20" t="s">
        <v>70</v>
      </c>
      <c r="E20" t="s">
        <v>86</v>
      </c>
      <c r="F20" t="s">
        <v>72</v>
      </c>
      <c r="G20">
        <v>2.4925288241581902</v>
      </c>
      <c r="H20">
        <v>0.44512105573931199</v>
      </c>
      <c r="I20">
        <v>0</v>
      </c>
      <c r="J20">
        <v>27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2.41994083909927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0.18991691253326218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0.23581299294256483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2.2050599818259999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2.70660486539925</v>
      </c>
      <c r="U20" s="5">
        <f>IF((ContinuousStatsTable[[#This Row],[RepsRequested]]&gt;1),ContinuousStatsTable[[#This Row],[HalfWidth]],ContinuousStatsTable[[#This Row],[BatchMeansHalfWidth]])</f>
        <v>0.23581299294256483</v>
      </c>
    </row>
    <row r="21" spans="1:21" x14ac:dyDescent="0.3">
      <c r="A21" t="s">
        <v>66</v>
      </c>
      <c r="B21" t="s">
        <v>69</v>
      </c>
      <c r="C21">
        <v>4</v>
      </c>
      <c r="D21" t="s">
        <v>78</v>
      </c>
      <c r="E21" t="s">
        <v>87</v>
      </c>
      <c r="F21" t="s">
        <v>80</v>
      </c>
      <c r="G21">
        <v>1.78576650909879</v>
      </c>
      <c r="H21">
        <v>0.42281421467694502</v>
      </c>
      <c r="I21">
        <v>0</v>
      </c>
      <c r="J21">
        <v>26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Projectdrilling.QueueNumber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1.713553485880664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0.17741864542382024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0.22029434463283656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1.5116132811604599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1.97873027387908</v>
      </c>
      <c r="U21" s="5">
        <f>IF((ContinuousStatsTable[[#This Row],[RepsRequested]]&gt;1),ContinuousStatsTable[[#This Row],[HalfWidth]],ContinuousStatsTable[[#This Row],[BatchMeansHalfWidth]])</f>
        <v>0.22029434463283656</v>
      </c>
    </row>
    <row r="22" spans="1:21" x14ac:dyDescent="0.3">
      <c r="A22" t="s">
        <v>66</v>
      </c>
      <c r="B22" t="s">
        <v>69</v>
      </c>
      <c r="C22">
        <v>5</v>
      </c>
      <c r="D22" t="s">
        <v>81</v>
      </c>
      <c r="E22" t="s">
        <v>82</v>
      </c>
      <c r="F22" t="s">
        <v>83</v>
      </c>
      <c r="G22">
        <v>0.70567089914150105</v>
      </c>
      <c r="H22">
        <v>2.30708003971557E-2</v>
      </c>
      <c r="I22">
        <v>0</v>
      </c>
      <c r="J22">
        <v>1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0.69344670066552505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0.72787459152016798</v>
      </c>
      <c r="U22" s="5">
        <f>IF((ContinuousStatsTable[[#This Row],[RepsRequested]]&gt;1),ContinuousStatsTable[[#This Row],[HalfWidth]],ContinuousStatsTable[[#This Row],[BatchMeansHalfWidth]])</f>
        <v>1.6392073596320996E-2</v>
      </c>
    </row>
    <row r="23" spans="1:21" x14ac:dyDescent="0.3">
      <c r="A23" t="s">
        <v>66</v>
      </c>
      <c r="B23" t="s">
        <v>69</v>
      </c>
      <c r="C23">
        <v>5</v>
      </c>
      <c r="D23" t="s">
        <v>81</v>
      </c>
      <c r="E23" t="s">
        <v>84</v>
      </c>
      <c r="F23" t="s">
        <v>83</v>
      </c>
      <c r="G23">
        <v>0.70567089914150105</v>
      </c>
      <c r="H23">
        <v>2.30708003971557E-2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0.70638735321860158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1.3201698382198699E-2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1.6392073596320996E-2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0.69344670066552505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0.72787459152016798</v>
      </c>
      <c r="U23" s="5">
        <f>IF((ContinuousStatsTable[[#This Row],[RepsRequested]]&gt;1),ContinuousStatsTable[[#This Row],[HalfWidth]],ContinuousStatsTable[[#This Row],[BatchMeansHalfWidth]])</f>
        <v>1.6392073596320996E-2</v>
      </c>
    </row>
    <row r="24" spans="1:21" x14ac:dyDescent="0.3">
      <c r="A24" t="s">
        <v>66</v>
      </c>
      <c r="B24" t="s">
        <v>69</v>
      </c>
      <c r="C24">
        <v>5</v>
      </c>
      <c r="D24" t="s">
        <v>81</v>
      </c>
      <c r="E24" t="s">
        <v>85</v>
      </c>
      <c r="F24" t="s">
        <v>83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">
      <c r="A25" t="s">
        <v>66</v>
      </c>
      <c r="B25" t="s">
        <v>69</v>
      </c>
      <c r="C25">
        <v>5</v>
      </c>
      <c r="D25" t="s">
        <v>70</v>
      </c>
      <c r="E25" t="s">
        <v>86</v>
      </c>
      <c r="F25" t="s">
        <v>72</v>
      </c>
      <c r="G25">
        <v>2.33695810440424</v>
      </c>
      <c r="H25">
        <v>0.218957579690751</v>
      </c>
      <c r="I25">
        <v>0</v>
      </c>
      <c r="J25">
        <v>17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2.41994083909927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0.18991691253326218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0.23581299294256483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2.2050599818259999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2.70660486539925</v>
      </c>
      <c r="U25" s="5">
        <f>IF((ContinuousStatsTable[[#This Row],[RepsRequested]]&gt;1),ContinuousStatsTable[[#This Row],[HalfWidth]],ContinuousStatsTable[[#This Row],[BatchMeansHalfWidth]])</f>
        <v>0.23581299294256483</v>
      </c>
    </row>
    <row r="26" spans="1:21" x14ac:dyDescent="0.3">
      <c r="A26" t="s">
        <v>66</v>
      </c>
      <c r="B26" t="s">
        <v>69</v>
      </c>
      <c r="C26">
        <v>5</v>
      </c>
      <c r="D26" t="s">
        <v>78</v>
      </c>
      <c r="E26" t="s">
        <v>87</v>
      </c>
      <c r="F26" t="s">
        <v>80</v>
      </c>
      <c r="G26">
        <v>1.6312872052627401</v>
      </c>
      <c r="H26">
        <v>0.20694062123460399</v>
      </c>
      <c r="I26">
        <v>0</v>
      </c>
      <c r="J26">
        <v>16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Projectdrilling.QueueNumber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1.713553485880664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0.17741864542382024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0.22029434463283656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1.5116132811604599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1.97873027387908</v>
      </c>
      <c r="U26" s="5">
        <f>IF((ContinuousStatsTable[[#This Row],[RepsRequested]]&gt;1),ContinuousStatsTable[[#This Row],[HalfWidth]],ContinuousStatsTable[[#This Row],[BatchMeansHalfWidth]])</f>
        <v>0.22029434463283656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5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5.5820312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83</v>
      </c>
      <c r="G2">
        <v>6022</v>
      </c>
      <c r="H2">
        <v>0</v>
      </c>
      <c r="I2" t="str">
        <f>OutputTable[[#This Row],[ProjectName]]&amp;OutputTable[[#This Row],[Name]]&amp;OutputTable[[#This Row],[Type]]&amp;OutputTable[[#This Row],[Source]]</f>
        <v>Unnamed ProjectMachine.NumberSeizedTotal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5982.6</v>
      </c>
      <c r="L2" cm="1">
        <f t="array" ref="L2">IFERROR(_xlfn.STDEV.S(IF((OutputTable[GroupByKey]=OutputTable[[#This Row],[GroupByKey]]),(OutputTable[GroupByKey]=OutputTable[[#This Row],[GroupByKey]])*OutputTable[RecordedValue])),0)</f>
        <v>68.86798966138042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85.51090339120509</v>
      </c>
      <c r="O2" cm="1">
        <f t="array" ref="O2">MIN(IF((OutputTable[GroupByKey]=OutputTable[[#This Row],[GroupByKey]]),(OutputTable[GroupByKey]=OutputTable[[#This Row],[GroupByKey]])*OutputTable[RecordedValue]))</f>
        <v>5898</v>
      </c>
      <c r="P2" cm="1">
        <f t="array" ref="P2">MAX(IF((OutputTable[GroupByKey]=OutputTable[[#This Row],[GroupByKey]]),(OutputTable[GroupByKey]=OutputTable[[#This Row],[GroupByKey]])*OutputTable[RecordedValue]))</f>
        <v>6074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83</v>
      </c>
      <c r="G3">
        <v>0.72787459152016798</v>
      </c>
      <c r="H3">
        <v>0</v>
      </c>
      <c r="I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0.70638735321860158</v>
      </c>
      <c r="L3" cm="1">
        <f t="array" ref="L3">IFERROR(_xlfn.STDEV.S(IF((OutputTable[GroupByKey]=OutputTable[[#This Row],[GroupByKey]]),(OutputTable[GroupByKey]=OutputTable[[#This Row],[GroupByKey]])*OutputTable[RecordedValue])),0)</f>
        <v>1.3201698382198699E-2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1.6392073596320996E-2</v>
      </c>
      <c r="O3" cm="1">
        <f t="array" ref="O3">MIN(IF((OutputTable[GroupByKey]=OutputTable[[#This Row],[GroupByKey]]),(OutputTable[GroupByKey]=OutputTable[[#This Row],[GroupByKey]])*OutputTable[RecordedValue]))</f>
        <v>0.69344670066552505</v>
      </c>
      <c r="P3" cm="1">
        <f t="array" ref="P3">MAX(IF((OutputTable[GroupByKey]=OutputTable[[#This Row],[GroupByKey]]),(OutputTable[GroupByKey]=OutputTable[[#This Row],[GroupByKey]])*OutputTable[RecordedValue]))</f>
        <v>0.72787459152016798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72</v>
      </c>
      <c r="G4">
        <v>6033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5985</v>
      </c>
      <c r="L4" cm="1">
        <f t="array" ref="L4">IFERROR(_xlfn.STDEV.S(IF((OutputTable[GroupByKey]=OutputTable[[#This Row],[GroupByKey]]),(OutputTable[GroupByKey]=OutputTable[[#This Row],[GroupByKey]])*OutputTable[RecordedValue])),0)</f>
        <v>70.579742136111548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87.636324812914921</v>
      </c>
      <c r="O4" cm="1">
        <f t="array" ref="O4">MIN(IF((OutputTable[GroupByKey]=OutputTable[[#This Row],[GroupByKey]]),(OutputTable[GroupByKey]=OutputTable[[#This Row],[GroupByKey]])*OutputTable[RecordedValue]))</f>
        <v>5898</v>
      </c>
      <c r="P4" cm="1">
        <f t="array" ref="P4">MAX(IF((OutputTable[GroupByKey]=OutputTable[[#This Row],[GroupByKey]]),(OutputTable[GroupByKey]=OutputTable[[#This Row],[GroupByKey]])*OutputTable[RecordedValue]))</f>
        <v>6074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72</v>
      </c>
      <c r="G5">
        <v>6021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5982</v>
      </c>
      <c r="L5" cm="1">
        <f t="array" ref="L5">IFERROR(_xlfn.STDEV.S(IF((OutputTable[GroupByKey]=OutputTable[[#This Row],[GroupByKey]]),(OutputTable[GroupByKey]=OutputTable[[#This Row],[GroupByKey]])*OutputTable[RecordedValue])),0)</f>
        <v>69.043464571239468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5" cm="1">
        <f t="array" ref="O5">MIN(IF((OutputTable[GroupByKey]=OutputTable[[#This Row],[GroupByKey]]),(OutputTable[GroupByKey]=OutputTable[[#This Row],[GroupByKey]])*OutputTable[RecordedValue]))</f>
        <v>5897</v>
      </c>
      <c r="P5" cm="1">
        <f t="array" ref="P5">MAX(IF((OutputTable[GroupByKey]=OutputTable[[#This Row],[GroupByKey]]),(OutputTable[GroupByKey]=OutputTable[[#This Row],[GroupByKey]])*OutputTable[RecordedValue]))</f>
        <v>6074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95</v>
      </c>
      <c r="F6" t="s">
        <v>97</v>
      </c>
      <c r="G6">
        <v>6021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5982</v>
      </c>
      <c r="L6" cm="1">
        <f t="array" ref="L6">IFERROR(_xlfn.STDEV.S(IF((OutputTable[GroupByKey]=OutputTable[[#This Row],[GroupByKey]]),(OutputTable[GroupByKey]=OutputTable[[#This Row],[GroupByKey]])*OutputTable[RecordedValue])),0)</f>
        <v>69.043464571239468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6" cm="1">
        <f t="array" ref="O6">MIN(IF((OutputTable[GroupByKey]=OutputTable[[#This Row],[GroupByKey]]),(OutputTable[GroupByKey]=OutputTable[[#This Row],[GroupByKey]])*OutputTable[RecordedValue]))</f>
        <v>5897</v>
      </c>
      <c r="P6" cm="1">
        <f t="array" ref="P6">MAX(IF((OutputTable[GroupByKey]=OutputTable[[#This Row],[GroupByKey]]),(OutputTable[GroupByKey]=OutputTable[[#This Row],[GroupByKey]])*OutputTable[RecordedValue]))</f>
        <v>6074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83</v>
      </c>
      <c r="G7">
        <v>5939</v>
      </c>
      <c r="H7">
        <v>0</v>
      </c>
      <c r="I7" t="str">
        <f>OutputTable[[#This Row],[ProjectName]]&amp;OutputTable[[#This Row],[Name]]&amp;OutputTable[[#This Row],[Type]]&amp;OutputTable[[#This Row],[Source]]</f>
        <v>Unnamed ProjectMachine.NumberSeizedTotal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5982.6</v>
      </c>
      <c r="L7" cm="1">
        <f t="array" ref="L7">IFERROR(_xlfn.STDEV.S(IF((OutputTable[GroupByKey]=OutputTable[[#This Row],[GroupByKey]]),(OutputTable[GroupByKey]=OutputTable[[#This Row],[GroupByKey]])*OutputTable[RecordedValue])),0)</f>
        <v>68.86798966138042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85.51090339120509</v>
      </c>
      <c r="O7" cm="1">
        <f t="array" ref="O7">MIN(IF((OutputTable[GroupByKey]=OutputTable[[#This Row],[GroupByKey]]),(OutputTable[GroupByKey]=OutputTable[[#This Row],[GroupByKey]])*OutputTable[RecordedValue]))</f>
        <v>5898</v>
      </c>
      <c r="P7" cm="1">
        <f t="array" ref="P7">MAX(IF((OutputTable[GroupByKey]=OutputTable[[#This Row],[GroupByKey]]),(OutputTable[GroupByKey]=OutputTable[[#This Row],[GroupByKey]])*OutputTable[RecordedValue]))</f>
        <v>6074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83</v>
      </c>
      <c r="G8">
        <v>0.69344670066552505</v>
      </c>
      <c r="H8">
        <v>0</v>
      </c>
      <c r="I8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0.70638735321860158</v>
      </c>
      <c r="L8" cm="1">
        <f t="array" ref="L8">IFERROR(_xlfn.STDEV.S(IF((OutputTable[GroupByKey]=OutputTable[[#This Row],[GroupByKey]]),(OutputTable[GroupByKey]=OutputTable[[#This Row],[GroupByKey]])*OutputTable[RecordedValue])),0)</f>
        <v>1.3201698382198699E-2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1.6392073596320996E-2</v>
      </c>
      <c r="O8" cm="1">
        <f t="array" ref="O8">MIN(IF((OutputTable[GroupByKey]=OutputTable[[#This Row],[GroupByKey]]),(OutputTable[GroupByKey]=OutputTable[[#This Row],[GroupByKey]])*OutputTable[RecordedValue]))</f>
        <v>0.69344670066552505</v>
      </c>
      <c r="P8" cm="1">
        <f t="array" ref="P8">MAX(IF((OutputTable[GroupByKey]=OutputTable[[#This Row],[GroupByKey]]),(OutputTable[GroupByKey]=OutputTable[[#This Row],[GroupByKey]])*OutputTable[RecordedValue]))</f>
        <v>0.72787459152016798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72</v>
      </c>
      <c r="G9">
        <v>5939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5985</v>
      </c>
      <c r="L9" cm="1">
        <f t="array" ref="L9">IFERROR(_xlfn.STDEV.S(IF((OutputTable[GroupByKey]=OutputTable[[#This Row],[GroupByKey]]),(OutputTable[GroupByKey]=OutputTable[[#This Row],[GroupByKey]])*OutputTable[RecordedValue])),0)</f>
        <v>70.579742136111548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87.636324812914921</v>
      </c>
      <c r="O9" cm="1">
        <f t="array" ref="O9">MIN(IF((OutputTable[GroupByKey]=OutputTable[[#This Row],[GroupByKey]]),(OutputTable[GroupByKey]=OutputTable[[#This Row],[GroupByKey]])*OutputTable[RecordedValue]))</f>
        <v>5898</v>
      </c>
      <c r="P9" cm="1">
        <f t="array" ref="P9">MAX(IF((OutputTable[GroupByKey]=OutputTable[[#This Row],[GroupByKey]]),(OutputTable[GroupByKey]=OutputTable[[#This Row],[GroupByKey]])*OutputTable[RecordedValue]))</f>
        <v>6074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72</v>
      </c>
      <c r="G10">
        <v>5939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5982</v>
      </c>
      <c r="L10" cm="1">
        <f t="array" ref="L10">IFERROR(_xlfn.STDEV.S(IF((OutputTable[GroupByKey]=OutputTable[[#This Row],[GroupByKey]]),(OutputTable[GroupByKey]=OutputTable[[#This Row],[GroupByKey]])*OutputTable[RecordedValue])),0)</f>
        <v>69.043464571239468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10" cm="1">
        <f t="array" ref="O10">MIN(IF((OutputTable[GroupByKey]=OutputTable[[#This Row],[GroupByKey]]),(OutputTable[GroupByKey]=OutputTable[[#This Row],[GroupByKey]])*OutputTable[RecordedValue]))</f>
        <v>5897</v>
      </c>
      <c r="P10" cm="1">
        <f t="array" ref="P10">MAX(IF((OutputTable[GroupByKey]=OutputTable[[#This Row],[GroupByKey]]),(OutputTable[GroupByKey]=OutputTable[[#This Row],[GroupByKey]])*OutputTable[RecordedValue]))</f>
        <v>6074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95</v>
      </c>
      <c r="F11" t="s">
        <v>97</v>
      </c>
      <c r="G11">
        <v>5939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5982</v>
      </c>
      <c r="L11" cm="1">
        <f t="array" ref="L11">IFERROR(_xlfn.STDEV.S(IF((OutputTable[GroupByKey]=OutputTable[[#This Row],[GroupByKey]]),(OutputTable[GroupByKey]=OutputTable[[#This Row],[GroupByKey]])*OutputTable[RecordedValue])),0)</f>
        <v>69.043464571239468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11" cm="1">
        <f t="array" ref="O11">MIN(IF((OutputTable[GroupByKey]=OutputTable[[#This Row],[GroupByKey]]),(OutputTable[GroupByKey]=OutputTable[[#This Row],[GroupByKey]])*OutputTable[RecordedValue]))</f>
        <v>5897</v>
      </c>
      <c r="P11" cm="1">
        <f t="array" ref="P11">MAX(IF((OutputTable[GroupByKey]=OutputTable[[#This Row],[GroupByKey]]),(OutputTable[GroupByKey]=OutputTable[[#This Row],[GroupByKey]])*OutputTable[RecordedValue]))</f>
        <v>6074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83</v>
      </c>
      <c r="G12">
        <v>5980</v>
      </c>
      <c r="H12">
        <v>0</v>
      </c>
      <c r="I12" t="str">
        <f>OutputTable[[#This Row],[ProjectName]]&amp;OutputTable[[#This Row],[Name]]&amp;OutputTable[[#This Row],[Type]]&amp;OutputTable[[#This Row],[Source]]</f>
        <v>Unnamed ProjectMachine.NumberSeizedTotal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5982.6</v>
      </c>
      <c r="L12" cm="1">
        <f t="array" ref="L12">IFERROR(_xlfn.STDEV.S(IF((OutputTable[GroupByKey]=OutputTable[[#This Row],[GroupByKey]]),(OutputTable[GroupByKey]=OutputTable[[#This Row],[GroupByKey]])*OutputTable[RecordedValue])),0)</f>
        <v>68.86798966138042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85.51090339120509</v>
      </c>
      <c r="O12" cm="1">
        <f t="array" ref="O12">MIN(IF((OutputTable[GroupByKey]=OutputTable[[#This Row],[GroupByKey]]),(OutputTable[GroupByKey]=OutputTable[[#This Row],[GroupByKey]])*OutputTable[RecordedValue]))</f>
        <v>5898</v>
      </c>
      <c r="P12" cm="1">
        <f t="array" ref="P12">MAX(IF((OutputTable[GroupByKey]=OutputTable[[#This Row],[GroupByKey]]),(OutputTable[GroupByKey]=OutputTable[[#This Row],[GroupByKey]])*OutputTable[RecordedValue]))</f>
        <v>6074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83</v>
      </c>
      <c r="G13">
        <v>0.69818225970641101</v>
      </c>
      <c r="H13">
        <v>0</v>
      </c>
      <c r="I1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0.70638735321860158</v>
      </c>
      <c r="L13" cm="1">
        <f t="array" ref="L13">IFERROR(_xlfn.STDEV.S(IF((OutputTable[GroupByKey]=OutputTable[[#This Row],[GroupByKey]]),(OutputTable[GroupByKey]=OutputTable[[#This Row],[GroupByKey]])*OutputTable[RecordedValue])),0)</f>
        <v>1.3201698382198699E-2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1.6392073596320996E-2</v>
      </c>
      <c r="O13" cm="1">
        <f t="array" ref="O13">MIN(IF((OutputTable[GroupByKey]=OutputTable[[#This Row],[GroupByKey]]),(OutputTable[GroupByKey]=OutputTable[[#This Row],[GroupByKey]])*OutputTable[RecordedValue]))</f>
        <v>0.69344670066552505</v>
      </c>
      <c r="P13" cm="1">
        <f t="array" ref="P13">MAX(IF((OutputTable[GroupByKey]=OutputTable[[#This Row],[GroupByKey]]),(OutputTable[GroupByKey]=OutputTable[[#This Row],[GroupByKey]])*OutputTable[RecordedValue]))</f>
        <v>0.72787459152016798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72</v>
      </c>
      <c r="G14">
        <v>5981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5985</v>
      </c>
      <c r="L14" cm="1">
        <f t="array" ref="L14">IFERROR(_xlfn.STDEV.S(IF((OutputTable[GroupByKey]=OutputTable[[#This Row],[GroupByKey]]),(OutputTable[GroupByKey]=OutputTable[[#This Row],[GroupByKey]])*OutputTable[RecordedValue])),0)</f>
        <v>70.579742136111548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87.636324812914921</v>
      </c>
      <c r="O14" cm="1">
        <f t="array" ref="O14">MIN(IF((OutputTable[GroupByKey]=OutputTable[[#This Row],[GroupByKey]]),(OutputTable[GroupByKey]=OutputTable[[#This Row],[GroupByKey]])*OutputTable[RecordedValue]))</f>
        <v>5898</v>
      </c>
      <c r="P14" cm="1">
        <f t="array" ref="P14">MAX(IF((OutputTable[GroupByKey]=OutputTable[[#This Row],[GroupByKey]]),(OutputTable[GroupByKey]=OutputTable[[#This Row],[GroupByKey]])*OutputTable[RecordedValue]))</f>
        <v>6074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72</v>
      </c>
      <c r="G15">
        <v>5979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5982</v>
      </c>
      <c r="L15" cm="1">
        <f t="array" ref="L15">IFERROR(_xlfn.STDEV.S(IF((OutputTable[GroupByKey]=OutputTable[[#This Row],[GroupByKey]]),(OutputTable[GroupByKey]=OutputTable[[#This Row],[GroupByKey]])*OutputTable[RecordedValue])),0)</f>
        <v>69.043464571239468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15" cm="1">
        <f t="array" ref="O15">MIN(IF((OutputTable[GroupByKey]=OutputTable[[#This Row],[GroupByKey]]),(OutputTable[GroupByKey]=OutputTable[[#This Row],[GroupByKey]])*OutputTable[RecordedValue]))</f>
        <v>5897</v>
      </c>
      <c r="P15" cm="1">
        <f t="array" ref="P15">MAX(IF((OutputTable[GroupByKey]=OutputTable[[#This Row],[GroupByKey]]),(OutputTable[GroupByKey]=OutputTable[[#This Row],[GroupByKey]])*OutputTable[RecordedValue]))</f>
        <v>6074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95</v>
      </c>
      <c r="F16" t="s">
        <v>97</v>
      </c>
      <c r="G16">
        <v>5979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5982</v>
      </c>
      <c r="L16" cm="1">
        <f t="array" ref="L16">IFERROR(_xlfn.STDEV.S(IF((OutputTable[GroupByKey]=OutputTable[[#This Row],[GroupByKey]]),(OutputTable[GroupByKey]=OutputTable[[#This Row],[GroupByKey]])*OutputTable[RecordedValue])),0)</f>
        <v>69.043464571239468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16" cm="1">
        <f t="array" ref="O16">MIN(IF((OutputTable[GroupByKey]=OutputTable[[#This Row],[GroupByKey]]),(OutputTable[GroupByKey]=OutputTable[[#This Row],[GroupByKey]])*OutputTable[RecordedValue]))</f>
        <v>5897</v>
      </c>
      <c r="P16" cm="1">
        <f t="array" ref="P16">MAX(IF((OutputTable[GroupByKey]=OutputTable[[#This Row],[GroupByKey]]),(OutputTable[GroupByKey]=OutputTable[[#This Row],[GroupByKey]])*OutputTable[RecordedValue]))</f>
        <v>6074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83</v>
      </c>
      <c r="G17">
        <v>5898</v>
      </c>
      <c r="H17">
        <v>0</v>
      </c>
      <c r="I17" t="str">
        <f>OutputTable[[#This Row],[ProjectName]]&amp;OutputTable[[#This Row],[Name]]&amp;OutputTable[[#This Row],[Type]]&amp;OutputTable[[#This Row],[Source]]</f>
        <v>Unnamed ProjectMachine.NumberSeizedTotal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5982.6</v>
      </c>
      <c r="L17" cm="1">
        <f t="array" ref="L17">IFERROR(_xlfn.STDEV.S(IF((OutputTable[GroupByKey]=OutputTable[[#This Row],[GroupByKey]]),(OutputTable[GroupByKey]=OutputTable[[#This Row],[GroupByKey]])*OutputTable[RecordedValue])),0)</f>
        <v>68.86798966138042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85.51090339120509</v>
      </c>
      <c r="O17" cm="1">
        <f t="array" ref="O17">MIN(IF((OutputTable[GroupByKey]=OutputTable[[#This Row],[GroupByKey]]),(OutputTable[GroupByKey]=OutputTable[[#This Row],[GroupByKey]])*OutputTable[RecordedValue]))</f>
        <v>5898</v>
      </c>
      <c r="P17" cm="1">
        <f t="array" ref="P17">MAX(IF((OutputTable[GroupByKey]=OutputTable[[#This Row],[GroupByKey]]),(OutputTable[GroupByKey]=OutputTable[[#This Row],[GroupByKey]])*OutputTable[RecordedValue]))</f>
        <v>6074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83</v>
      </c>
      <c r="G18">
        <v>0.70676231505940301</v>
      </c>
      <c r="H18">
        <v>0</v>
      </c>
      <c r="I18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0.70638735321860158</v>
      </c>
      <c r="L18" cm="1">
        <f t="array" ref="L18">IFERROR(_xlfn.STDEV.S(IF((OutputTable[GroupByKey]=OutputTable[[#This Row],[GroupByKey]]),(OutputTable[GroupByKey]=OutputTable[[#This Row],[GroupByKey]])*OutputTable[RecordedValue])),0)</f>
        <v>1.3201698382198699E-2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1.6392073596320996E-2</v>
      </c>
      <c r="O18" cm="1">
        <f t="array" ref="O18">MIN(IF((OutputTable[GroupByKey]=OutputTable[[#This Row],[GroupByKey]]),(OutputTable[GroupByKey]=OutputTable[[#This Row],[GroupByKey]])*OutputTable[RecordedValue]))</f>
        <v>0.69344670066552505</v>
      </c>
      <c r="P18" cm="1">
        <f t="array" ref="P18">MAX(IF((OutputTable[GroupByKey]=OutputTable[[#This Row],[GroupByKey]]),(OutputTable[GroupByKey]=OutputTable[[#This Row],[GroupByKey]])*OutputTable[RecordedValue]))</f>
        <v>0.72787459152016798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72</v>
      </c>
      <c r="G19">
        <v>5898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5985</v>
      </c>
      <c r="L19" cm="1">
        <f t="array" ref="L19">IFERROR(_xlfn.STDEV.S(IF((OutputTable[GroupByKey]=OutputTable[[#This Row],[GroupByKey]]),(OutputTable[GroupByKey]=OutputTable[[#This Row],[GroupByKey]])*OutputTable[RecordedValue])),0)</f>
        <v>70.579742136111548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87.636324812914921</v>
      </c>
      <c r="O19" cm="1">
        <f t="array" ref="O19">MIN(IF((OutputTable[GroupByKey]=OutputTable[[#This Row],[GroupByKey]]),(OutputTable[GroupByKey]=OutputTable[[#This Row],[GroupByKey]])*OutputTable[RecordedValue]))</f>
        <v>5898</v>
      </c>
      <c r="P19" cm="1">
        <f t="array" ref="P19">MAX(IF((OutputTable[GroupByKey]=OutputTable[[#This Row],[GroupByKey]]),(OutputTable[GroupByKey]=OutputTable[[#This Row],[GroupByKey]])*OutputTable[RecordedValue]))</f>
        <v>6074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72</v>
      </c>
      <c r="G20">
        <v>5897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5982</v>
      </c>
      <c r="L20" cm="1">
        <f t="array" ref="L20">IFERROR(_xlfn.STDEV.S(IF((OutputTable[GroupByKey]=OutputTable[[#This Row],[GroupByKey]]),(OutputTable[GroupByKey]=OutputTable[[#This Row],[GroupByKey]])*OutputTable[RecordedValue])),0)</f>
        <v>69.043464571239468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20" cm="1">
        <f t="array" ref="O20">MIN(IF((OutputTable[GroupByKey]=OutputTable[[#This Row],[GroupByKey]]),(OutputTable[GroupByKey]=OutputTable[[#This Row],[GroupByKey]])*OutputTable[RecordedValue]))</f>
        <v>5897</v>
      </c>
      <c r="P20" cm="1">
        <f t="array" ref="P20">MAX(IF((OutputTable[GroupByKey]=OutputTable[[#This Row],[GroupByKey]]),(OutputTable[GroupByKey]=OutputTable[[#This Row],[GroupByKey]])*OutputTable[RecordedValue]))</f>
        <v>6074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95</v>
      </c>
      <c r="F21" t="s">
        <v>97</v>
      </c>
      <c r="G21">
        <v>5897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5982</v>
      </c>
      <c r="L21" cm="1">
        <f t="array" ref="L21">IFERROR(_xlfn.STDEV.S(IF((OutputTable[GroupByKey]=OutputTable[[#This Row],[GroupByKey]]),(OutputTable[GroupByKey]=OutputTable[[#This Row],[GroupByKey]])*OutputTable[RecordedValue])),0)</f>
        <v>69.043464571239468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21" cm="1">
        <f t="array" ref="O21">MIN(IF((OutputTable[GroupByKey]=OutputTable[[#This Row],[GroupByKey]]),(OutputTable[GroupByKey]=OutputTable[[#This Row],[GroupByKey]])*OutputTable[RecordedValue]))</f>
        <v>5897</v>
      </c>
      <c r="P21" cm="1">
        <f t="array" ref="P21">MAX(IF((OutputTable[GroupByKey]=OutputTable[[#This Row],[GroupByKey]]),(OutputTable[GroupByKey]=OutputTable[[#This Row],[GroupByKey]])*OutputTable[RecordedValue]))</f>
        <v>6074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83</v>
      </c>
      <c r="G22">
        <v>6074</v>
      </c>
      <c r="H22">
        <v>0</v>
      </c>
      <c r="I22" t="str">
        <f>OutputTable[[#This Row],[ProjectName]]&amp;OutputTable[[#This Row],[Name]]&amp;OutputTable[[#This Row],[Type]]&amp;OutputTable[[#This Row],[Source]]</f>
        <v>Unnamed ProjectMachine.NumberSeizedTotal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5982.6</v>
      </c>
      <c r="L22" cm="1">
        <f t="array" ref="L22">IFERROR(_xlfn.STDEV.S(IF((OutputTable[GroupByKey]=OutputTable[[#This Row],[GroupByKey]]),(OutputTable[GroupByKey]=OutputTable[[#This Row],[GroupByKey]])*OutputTable[RecordedValue])),0)</f>
        <v>68.86798966138042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85.51090339120509</v>
      </c>
      <c r="O22" cm="1">
        <f t="array" ref="O22">MIN(IF((OutputTable[GroupByKey]=OutputTable[[#This Row],[GroupByKey]]),(OutputTable[GroupByKey]=OutputTable[[#This Row],[GroupByKey]])*OutputTable[RecordedValue]))</f>
        <v>5898</v>
      </c>
      <c r="P22" cm="1">
        <f t="array" ref="P22">MAX(IF((OutputTable[GroupByKey]=OutputTable[[#This Row],[GroupByKey]]),(OutputTable[GroupByKey]=OutputTable[[#This Row],[GroupByKey]])*OutputTable[RecordedValue]))</f>
        <v>6074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83</v>
      </c>
      <c r="G23">
        <v>0.70567089914150105</v>
      </c>
      <c r="H23">
        <v>0</v>
      </c>
      <c r="I2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0.70638735321860158</v>
      </c>
      <c r="L23" cm="1">
        <f t="array" ref="L23">IFERROR(_xlfn.STDEV.S(IF((OutputTable[GroupByKey]=OutputTable[[#This Row],[GroupByKey]]),(OutputTable[GroupByKey]=OutputTable[[#This Row],[GroupByKey]])*OutputTable[RecordedValue])),0)</f>
        <v>1.3201698382198699E-2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1.6392073596320996E-2</v>
      </c>
      <c r="O23" cm="1">
        <f t="array" ref="O23">MIN(IF((OutputTable[GroupByKey]=OutputTable[[#This Row],[GroupByKey]]),(OutputTable[GroupByKey]=OutputTable[[#This Row],[GroupByKey]])*OutputTable[RecordedValue]))</f>
        <v>0.69344670066552505</v>
      </c>
      <c r="P23" cm="1">
        <f t="array" ref="P23">MAX(IF((OutputTable[GroupByKey]=OutputTable[[#This Row],[GroupByKey]]),(OutputTable[GroupByKey]=OutputTable[[#This Row],[GroupByKey]])*OutputTable[RecordedValue]))</f>
        <v>0.72787459152016798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72</v>
      </c>
      <c r="G24">
        <v>6074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5985</v>
      </c>
      <c r="L24" cm="1">
        <f t="array" ref="L24">IFERROR(_xlfn.STDEV.S(IF((OutputTable[GroupByKey]=OutputTable[[#This Row],[GroupByKey]]),(OutputTable[GroupByKey]=OutputTable[[#This Row],[GroupByKey]])*OutputTable[RecordedValue])),0)</f>
        <v>70.579742136111548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87.636324812914921</v>
      </c>
      <c r="O24" cm="1">
        <f t="array" ref="O24">MIN(IF((OutputTable[GroupByKey]=OutputTable[[#This Row],[GroupByKey]]),(OutputTable[GroupByKey]=OutputTable[[#This Row],[GroupByKey]])*OutputTable[RecordedValue]))</f>
        <v>5898</v>
      </c>
      <c r="P24" cm="1">
        <f t="array" ref="P24">MAX(IF((OutputTable[GroupByKey]=OutputTable[[#This Row],[GroupByKey]]),(OutputTable[GroupByKey]=OutputTable[[#This Row],[GroupByKey]])*OutputTable[RecordedValue]))</f>
        <v>6074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72</v>
      </c>
      <c r="G25">
        <v>6074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5982</v>
      </c>
      <c r="L25" cm="1">
        <f t="array" ref="L25">IFERROR(_xlfn.STDEV.S(IF((OutputTable[GroupByKey]=OutputTable[[#This Row],[GroupByKey]]),(OutputTable[GroupByKey]=OutputTable[[#This Row],[GroupByKey]])*OutputTable[RecordedValue])),0)</f>
        <v>69.043464571239468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25" cm="1">
        <f t="array" ref="O25">MIN(IF((OutputTable[GroupByKey]=OutputTable[[#This Row],[GroupByKey]]),(OutputTable[GroupByKey]=OutputTable[[#This Row],[GroupByKey]])*OutputTable[RecordedValue]))</f>
        <v>5897</v>
      </c>
      <c r="P25" cm="1">
        <f t="array" ref="P25">MAX(IF((OutputTable[GroupByKey]=OutputTable[[#This Row],[GroupByKey]]),(OutputTable[GroupByKey]=OutputTable[[#This Row],[GroupByKey]])*OutputTable[RecordedValue]))</f>
        <v>6074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95</v>
      </c>
      <c r="F26" t="s">
        <v>97</v>
      </c>
      <c r="G26">
        <v>6074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5982</v>
      </c>
      <c r="L26" cm="1">
        <f t="array" ref="L26">IFERROR(_xlfn.STDEV.S(IF((OutputTable[GroupByKey]=OutputTable[[#This Row],[GroupByKey]]),(OutputTable[GroupByKey]=OutputTable[[#This Row],[GroupByKey]])*OutputTable[RecordedValue])),0)</f>
        <v>69.043464571239468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85.728784269365121</v>
      </c>
      <c r="O26" cm="1">
        <f t="array" ref="O26">MIN(IF((OutputTable[GroupByKey]=OutputTable[[#This Row],[GroupByKey]]),(OutputTable[GroupByKey]=OutputTable[[#This Row],[GroupByKey]])*OutputTable[RecordedValue]))</f>
        <v>5897</v>
      </c>
      <c r="P26" cm="1">
        <f t="array" ref="P26">MAX(IF((OutputTable[GroupByKey]=OutputTable[[#This Row],[GroupByKey]]),(OutputTable[GroupByKey]=OutputTable[[#This Row],[GroupByKey]])*OutputTable[RecordedValue]))</f>
        <v>6074</v>
      </c>
    </row>
    <row r="27" spans="1:16" x14ac:dyDescent="0.3"/>
    <row r="28" spans="1:16" x14ac:dyDescent="0.3"/>
    <row r="29" spans="1:16" x14ac:dyDescent="0.3"/>
    <row r="30" spans="1:16" x14ac:dyDescent="0.3"/>
    <row r="31" spans="1:16" x14ac:dyDescent="0.3"/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2025-04-25T11:58:13Z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