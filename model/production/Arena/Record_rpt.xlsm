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"/>
    </mc:Choice>
  </mc:AlternateContent>
  <xr:revisionPtr revIDLastSave="0" documentId="13_ncr:1_{649EBA32-13EA-4CB2-936F-F24530661DCF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</definedName>
    <definedName name="ExternalData_1" localSheetId="4" hidden="1">CounterStatsByRep!$A$1:$G$2</definedName>
    <definedName name="ExternalData_1" localSheetId="2" hidden="1">DiscreteTimeStatsByRep!$A$1:$K$8</definedName>
    <definedName name="ExternalData_1" localSheetId="6" hidden="1">FrequencyStatsByRep!$A$1:$K$2</definedName>
    <definedName name="ExternalData_1" localSheetId="5" hidden="1">OutputStatsByRep!$A$1:$H$4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L3" i="20" s="1" a="1"/>
  <c r="L3" i="20" s="1"/>
  <c r="J2" i="20" a="1"/>
  <c r="J2" i="20"/>
  <c r="J3" i="20" a="1"/>
  <c r="J3" i="20" s="1"/>
  <c r="J4" i="20" a="1"/>
  <c r="J4" i="20"/>
  <c r="K4" i="20" a="1"/>
  <c r="K4" i="20" s="1"/>
  <c r="L2" i="20" a="1"/>
  <c r="L2" i="20" s="1"/>
  <c r="L4" i="20" a="1"/>
  <c r="L4" i="20" s="1"/>
  <c r="M2" i="20" a="1"/>
  <c r="M2" i="20" s="1"/>
  <c r="N2" i="20" s="1"/>
  <c r="M3" i="20" a="1"/>
  <c r="M3" i="20" s="1"/>
  <c r="M4" i="20" a="1"/>
  <c r="M4" i="20" s="1"/>
  <c r="O4" i="20" a="1"/>
  <c r="O4" i="20" s="1"/>
  <c r="P2" i="20" a="1"/>
  <c r="P2" i="20" s="1"/>
  <c r="H2" i="19"/>
  <c r="J2" i="19" s="1" a="1"/>
  <c r="J2" i="19" s="1"/>
  <c r="I2" i="19" a="1"/>
  <c r="I2" i="19" s="1"/>
  <c r="L2" i="19" a="1"/>
  <c r="L2" i="19" s="1"/>
  <c r="M2" i="18"/>
  <c r="N2" i="18" a="1"/>
  <c r="N2" i="18"/>
  <c r="O2" i="18" a="1"/>
  <c r="O2" i="18"/>
  <c r="P2" i="18" a="1"/>
  <c r="P2" i="18" s="1"/>
  <c r="Q2" i="18" a="1"/>
  <c r="Q2" i="18" s="1"/>
  <c r="S2" i="18" a="1"/>
  <c r="S2" i="18" s="1"/>
  <c r="T2" i="18" a="1"/>
  <c r="T2" i="18"/>
  <c r="U2" i="18"/>
  <c r="L2" i="17"/>
  <c r="L3" i="17"/>
  <c r="L4" i="17"/>
  <c r="L5" i="17"/>
  <c r="L6" i="17"/>
  <c r="L7" i="17"/>
  <c r="L8" i="17"/>
  <c r="M2" i="17" a="1"/>
  <c r="M2" i="17" s="1"/>
  <c r="M3" i="17" a="1"/>
  <c r="M3" i="17"/>
  <c r="W3" i="17" s="1"/>
  <c r="M4" i="17" a="1"/>
  <c r="M4" i="17"/>
  <c r="W4" i="17" s="1"/>
  <c r="M5" i="17" a="1"/>
  <c r="M5" i="17"/>
  <c r="W5" i="17" s="1"/>
  <c r="M6" i="17" a="1"/>
  <c r="M6" i="17" s="1"/>
  <c r="M7" i="17" a="1"/>
  <c r="M7" i="17" s="1"/>
  <c r="M8" i="17" a="1"/>
  <c r="M8" i="17" s="1"/>
  <c r="W8" i="17" s="1"/>
  <c r="P2" i="17" a="1"/>
  <c r="P2" i="17" s="1"/>
  <c r="P3" i="17" a="1"/>
  <c r="P3" i="17" s="1"/>
  <c r="P4" i="17" a="1"/>
  <c r="P4" i="17" s="1"/>
  <c r="P5" i="17" a="1"/>
  <c r="P5" i="17" s="1"/>
  <c r="P6" i="17" a="1"/>
  <c r="P6" i="17"/>
  <c r="P7" i="17" a="1"/>
  <c r="P7" i="17" s="1"/>
  <c r="P8" i="17" a="1"/>
  <c r="P8" i="17" s="1"/>
  <c r="G2" i="16"/>
  <c r="K3" i="20" l="1" a="1"/>
  <c r="K3" i="20" s="1"/>
  <c r="K2" i="20" a="1"/>
  <c r="K2" i="20" s="1"/>
  <c r="P4" i="20" a="1"/>
  <c r="P4" i="20" s="1"/>
  <c r="N3" i="20"/>
  <c r="O3" i="20" a="1"/>
  <c r="O3" i="20" s="1"/>
  <c r="O2" i="20" a="1"/>
  <c r="O2" i="20" s="1"/>
  <c r="N4" i="20"/>
  <c r="P3" i="20" a="1"/>
  <c r="P3" i="20" s="1"/>
  <c r="O2" i="19" a="1"/>
  <c r="O2" i="19" s="1"/>
  <c r="K2" i="19" a="1"/>
  <c r="K2" i="19" s="1"/>
  <c r="M2" i="19" s="1"/>
  <c r="N2" i="19" a="1"/>
  <c r="N2" i="19" s="1"/>
  <c r="R2" i="18"/>
  <c r="V2" i="17" a="1"/>
  <c r="V2" i="17" s="1"/>
  <c r="U4" i="17" a="1"/>
  <c r="U4" i="17" s="1"/>
  <c r="X8" i="17" a="1"/>
  <c r="X8" i="17" s="1"/>
  <c r="T2" i="17" a="1"/>
  <c r="T2" i="17" s="1"/>
  <c r="S7" i="17" a="1"/>
  <c r="S7" i="17" s="1"/>
  <c r="W7" i="17"/>
  <c r="O2" i="17" a="1"/>
  <c r="O2" i="17" s="1"/>
  <c r="T8" i="17" a="1"/>
  <c r="T8" i="17" s="1"/>
  <c r="T7" i="17" a="1"/>
  <c r="T7" i="17" s="1"/>
  <c r="T3" i="17" a="1"/>
  <c r="T3" i="17" s="1"/>
  <c r="S2" i="17" a="1"/>
  <c r="S2" i="17" s="1"/>
  <c r="U8" i="17" a="1"/>
  <c r="U8" i="17" s="1"/>
  <c r="N6" i="17" a="1"/>
  <c r="N6" i="17" s="1"/>
  <c r="O8" i="17" a="1"/>
  <c r="O8" i="17" s="1"/>
  <c r="R5" i="17" a="1"/>
  <c r="R5" i="17" s="1"/>
  <c r="X7" i="17" a="1"/>
  <c r="X7" i="17" s="1"/>
  <c r="Y7" i="17" s="1"/>
  <c r="Q7" i="17" s="1"/>
  <c r="S6" i="17" a="1"/>
  <c r="S6" i="17" s="1"/>
  <c r="V5" i="17" a="1"/>
  <c r="V5" i="17" s="1"/>
  <c r="R6" i="17" a="1"/>
  <c r="R6" i="17" s="1"/>
  <c r="O7" i="17" a="1"/>
  <c r="O7" i="17" s="1"/>
  <c r="N7" i="17" a="1"/>
  <c r="N7" i="17" s="1"/>
  <c r="N8" i="17" a="1"/>
  <c r="N8" i="17" s="1"/>
  <c r="R7" i="17" a="1"/>
  <c r="R7" i="17" s="1"/>
  <c r="W6" i="17"/>
  <c r="W2" i="17"/>
  <c r="X6" i="17" a="1"/>
  <c r="X6" i="17" s="1"/>
  <c r="Y6" i="17" s="1"/>
  <c r="O6" i="17" a="1"/>
  <c r="O6" i="17" s="1"/>
  <c r="V8" i="17" a="1"/>
  <c r="V8" i="17" s="1"/>
  <c r="V6" i="17" a="1"/>
  <c r="V6" i="17" s="1"/>
  <c r="U5" i="17" a="1"/>
  <c r="U5" i="17" s="1"/>
  <c r="T4" i="17" a="1"/>
  <c r="T4" i="17" s="1"/>
  <c r="S3" i="17" a="1"/>
  <c r="S3" i="17" s="1"/>
  <c r="R2" i="17" a="1"/>
  <c r="R2" i="17" s="1"/>
  <c r="N5" i="17" a="1"/>
  <c r="N5" i="17" s="1"/>
  <c r="U7" i="17" a="1"/>
  <c r="U7" i="17" s="1"/>
  <c r="T6" i="17" a="1"/>
  <c r="T6" i="17" s="1"/>
  <c r="S5" i="17" a="1"/>
  <c r="S5" i="17" s="1"/>
  <c r="R4" i="17" a="1"/>
  <c r="R4" i="17" s="1"/>
  <c r="X5" i="17" a="1"/>
  <c r="X5" i="17" s="1"/>
  <c r="Y5" i="17" s="1"/>
  <c r="O5" i="17" a="1"/>
  <c r="O5" i="17" s="1"/>
  <c r="N4" i="17" a="1"/>
  <c r="N4" i="17" s="1"/>
  <c r="V7" i="17" a="1"/>
  <c r="V7" i="17" s="1"/>
  <c r="U6" i="17" a="1"/>
  <c r="U6" i="17" s="1"/>
  <c r="T5" i="17" a="1"/>
  <c r="T5" i="17" s="1"/>
  <c r="S4" i="17" a="1"/>
  <c r="S4" i="17" s="1"/>
  <c r="R3" i="17" a="1"/>
  <c r="R3" i="17" s="1"/>
  <c r="Y8" i="17"/>
  <c r="X4" i="17" a="1"/>
  <c r="X4" i="17" s="1"/>
  <c r="Y4" i="17" s="1"/>
  <c r="O4" i="17" a="1"/>
  <c r="O4" i="17" s="1"/>
  <c r="N3" i="17" a="1"/>
  <c r="N3" i="17" s="1"/>
  <c r="X3" i="17" a="1"/>
  <c r="X3" i="17" s="1"/>
  <c r="Y3" i="17" s="1"/>
  <c r="O3" i="17" a="1"/>
  <c r="O3" i="17" s="1"/>
  <c r="N2" i="17" a="1"/>
  <c r="N2" i="17" s="1"/>
  <c r="V4" i="17" a="1"/>
  <c r="V4" i="17" s="1"/>
  <c r="R8" i="17" a="1"/>
  <c r="R8" i="17" s="1"/>
  <c r="X2" i="17" a="1"/>
  <c r="X2" i="17" s="1"/>
  <c r="Y2" i="17" s="1"/>
  <c r="Q2" i="17" s="1"/>
  <c r="U3" i="17" a="1"/>
  <c r="U3" i="17" s="1"/>
  <c r="V3" i="17" a="1"/>
  <c r="V3" i="17" s="1"/>
  <c r="U2" i="17" a="1"/>
  <c r="U2" i="17" s="1"/>
  <c r="S8" i="17" a="1"/>
  <c r="S8" i="17" s="1"/>
  <c r="Q5" i="17" l="1"/>
  <c r="Q8" i="17"/>
  <c r="Q3" i="17"/>
  <c r="Q6" i="17"/>
  <c r="Q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record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record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record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record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record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record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<sst xmlns="http://schemas.openxmlformats.org/spreadsheetml/2006/main" count="256" uniqueCount="91">
  <si>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</si>
  <si>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</si>
  <si>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</si>
  <si>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</si>
  <si>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</si>
  <si>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</si>
  <si>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</si>
  <si>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</si>
  <si>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</si>
  <si>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</si>
  <si>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</si>
  <si>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</si>
  <si>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</si>
  <si>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</si>
  <si>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</si>
  <si>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</si>
  <si>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</si>
  <si>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</si>
  <si>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</si>
  <si>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</si>
  <si>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</si>
  <si>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</si>
  <si>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</si>
  <si>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</si>
  <si>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</si>
  <si>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</si>
  <si>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</si>
  <si>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</si>
  <si>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</si>
  <si>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</si>
  <si>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</si>
  <si>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</si>
  <si>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</si>
  <si>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</si>
  <si>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</si>
  <si>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</si>
  <si>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</si>
  <si>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</si>
  <si>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</si>
  <si>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</si>
  <si>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</si>
  <si>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</si>
  <si>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</si>
  <si>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</si>
  <si>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</si>
  <si>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</si>
  <si>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</si>
  <si>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</si>
  <si>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</si>
  <si>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</si>
  <si>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</si>
  <si>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</si>
  <si>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</si>
  <si>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</si>
  <si>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</si>
  <si>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</si>
  <si>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</si>
  <si>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</si>
  <si>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</si>
  <si>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</si>
  <si>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</si>
  <si>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</si>
  <si>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</si>
  <si>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</si>
  <si>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</si>
  <si>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</si>
  <si>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</si>
  <si>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</si>
  <si>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E:\programming\Data-Science\model\production\Arena\Record.p</t>
  </si>
  <si>
    <t>2025-04-25 09:36:35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</si>
  <si>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</si>
  <si>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</si>
  <si>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</si>
  <si>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</si>
  <si>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</si>
  <si>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</si>
  <si>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</si>
  <si>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</si>
  <si>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Tally 1</t>
  </si>
  <si>
    <t>Interval</t>
  </si>
  <si>
    <t>User Specified</t>
  </si>
  <si>
    <t>WIP</t>
  </si>
  <si>
    <t>ReWorkNumberAvg</t>
  </si>
  <si>
    <t>Count</t>
  </si>
  <si>
    <t>Entity 1.NumberIn</t>
  </si>
  <si>
    <t>Number In</t>
  </si>
  <si>
    <t>Entity 1.NumberOut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</si>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</sst>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400521064817" createdVersion="7" refreshedVersion="8" minRefreshableVersion="3" recordCount="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9">
        <s v="Entity 1"/>
        <s v="Tally 1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Interval"/>
        <m u="1"/>
        <s v="Total Time Per Entity" u="1"/>
        <s v="VA Time Per Entity" u="1"/>
        <s v="Wait Time Per Entity" u="1"/>
        <s v="Waiting Time" u="1"/>
      </sharedItems>
    </cacheField>
    <cacheField name="Source" numFmtId="0">
      <sharedItems containsBlank="1" count="5">
        <s v="Entity"/>
        <s v="User Specified"/>
        <m u="1"/>
        <s v="Queue" u="1"/>
        <s v="Process" u="1"/>
      </sharedItems>
    </cacheField>
    <cacheField name="Average" numFmtId="0">
      <sharedItems containsSemiMixedTypes="0" containsString="0" containsNumber="1" minValue="0" maxValue="5324.63644396575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025.3512571634601"/>
    </cacheField>
    <cacheField name="Maximum" numFmtId="0">
      <sharedItems containsSemiMixedTypes="0" containsString="0" containsNumber="1" minValue="0" maxValue="9943.1635707870591"/>
    </cacheField>
    <cacheField name="NumberObservations" numFmtId="0">
      <sharedItems containsSemiMixedTypes="0" containsString="0" containsNumber="1" containsInteger="1" minValue="148" maxValue="14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324.63644396575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324.63644396575"/>
    </cacheField>
    <cacheField name="MaximumAverage" numFmtId="0">
      <sharedItems containsSemiMixedTypes="0" containsString="0" containsNumber="1" minValue="0" maxValue="5324.63644396575"/>
    </cacheField>
    <cacheField name="OverallMinimum" numFmtId="0">
      <sharedItems containsSemiMixedTypes="0" containsString="0" containsNumber="1" minValue="0" maxValue="1025.3512571634601"/>
    </cacheField>
    <cacheField name="OverallMaximum" numFmtId="0">
      <sharedItems containsSemiMixedTypes="0" containsString="0" containsNumber="1" minValue="0" maxValue="9943.1635707870591"/>
    </cacheField>
    <cacheField name="AverageNumberObservations" numFmtId="0">
      <sharedItems containsSemiMixedTypes="0" containsString="0" containsNumber="1" containsInteger="1" minValue="148" maxValue="148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400521296295" createdVersion="7" refreshedVersion="8" minRefreshableVersion="3" recordCount="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79">
        <s v="Entity 1.NumberIn"/>
        <s v="Entity 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45" maxValue="14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45" maxValue="148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45" maxValue="148"/>
    </cacheField>
    <cacheField name="Maximum" numFmtId="0">
      <sharedItems containsSemiMixedTypes="0" containsString="0" containsNumber="1" containsInteger="1" minValue="145" maxValue="1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40052164351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5">
        <s v="ReWorkNumberAvg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29" maxValue="29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29" maxValue="2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29" maxValue="29"/>
    </cacheField>
    <cacheField name="Maximum" numFmtId="0">
      <sharedItems containsSemiMixedTypes="0" containsString="0" containsNumber="1" containsInteger="1" minValue="29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40052210648" createdVersion="7" refreshedVersion="8" minRefreshableVersion="3" recordCount="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4">
        <s v="Entity 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2.1180551656783799" maxValue="2.11805516567837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6" maxValue="6"/>
    </cacheField>
    <cacheField name="LastRecordedValue" numFmtId="0">
      <sharedItems containsSemiMixedTypes="0" containsString="0" containsNumber="1" containsInteger="1" minValue="1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2.1180551656783799" maxValue="2.11805516567837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2.1180551656783799" maxValue="2.1180551656783799"/>
    </cacheField>
    <cacheField name="MaximumAverage" numFmtId="0">
      <sharedItems containsSemiMixedTypes="0" containsString="0" containsNumber="1" minValue="2.1180551656783799" maxValue="2.1180551656783799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2.40052233796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5-04-25 09:36:35"/>
    <n v="1"/>
    <x v="0"/>
    <x v="0"/>
    <x v="0"/>
    <n v="0"/>
    <n v="2E+20"/>
    <n v="0"/>
    <n v="0"/>
    <n v="148"/>
    <s v="Unnamed ProjectEntity 1NVA TimeEntity"/>
    <n v="1"/>
    <n v="0"/>
    <n v="0"/>
    <n v="0.95"/>
    <n v="4E+20"/>
    <n v="0"/>
    <n v="0"/>
    <n v="0"/>
    <n v="0"/>
    <n v="148"/>
    <n v="2E+20"/>
    <n v="1"/>
    <n v="1"/>
  </r>
  <r>
    <x v="0"/>
    <s v="2025-04-25 09:36:35"/>
    <n v="1"/>
    <x v="0"/>
    <x v="1"/>
    <x v="0"/>
    <n v="0"/>
    <n v="2E+20"/>
    <n v="0"/>
    <n v="0"/>
    <n v="148"/>
    <s v="Unnamed ProjectEntity 1Other TimeEntity"/>
    <n v="1"/>
    <n v="0"/>
    <n v="0"/>
    <n v="0.95"/>
    <n v="4E+20"/>
    <n v="0"/>
    <n v="0"/>
    <n v="0"/>
    <n v="0"/>
    <n v="148"/>
    <n v="2E+20"/>
    <n v="1"/>
    <n v="1"/>
  </r>
  <r>
    <x v="0"/>
    <s v="2025-04-25 09:36:35"/>
    <n v="1"/>
    <x v="0"/>
    <x v="2"/>
    <x v="0"/>
    <n v="129.848517434678"/>
    <n v="2E+20"/>
    <n v="72.561272521661493"/>
    <n v="315.28516497385499"/>
    <n v="148"/>
    <s v="Unnamed ProjectEntity 1Total TimeEntity"/>
    <n v="1"/>
    <n v="129.848517434678"/>
    <n v="0"/>
    <n v="0.95"/>
    <n v="4E+20"/>
    <n v="129.848517434678"/>
    <n v="129.848517434678"/>
    <n v="72.561272521661493"/>
    <n v="315.28516497385499"/>
    <n v="148"/>
    <n v="2E+20"/>
    <n v="1"/>
    <n v="1"/>
  </r>
  <r>
    <x v="0"/>
    <s v="2025-04-25 09:36:35"/>
    <n v="1"/>
    <x v="0"/>
    <x v="3"/>
    <x v="0"/>
    <n v="0"/>
    <n v="2E+20"/>
    <n v="0"/>
    <n v="0"/>
    <n v="148"/>
    <s v="Unnamed ProjectEntity 1Transfer TimeEntity"/>
    <n v="1"/>
    <n v="0"/>
    <n v="0"/>
    <n v="0.95"/>
    <n v="4E+20"/>
    <n v="0"/>
    <n v="0"/>
    <n v="0"/>
    <n v="0"/>
    <n v="148"/>
    <n v="2E+20"/>
    <n v="1"/>
    <n v="1"/>
  </r>
  <r>
    <x v="0"/>
    <s v="2025-04-25 09:36:35"/>
    <n v="1"/>
    <x v="0"/>
    <x v="4"/>
    <x v="0"/>
    <n v="129.848517434678"/>
    <n v="2E+20"/>
    <n v="72.561272521661493"/>
    <n v="315.28516497385499"/>
    <n v="148"/>
    <s v="Unnamed ProjectEntity 1VA TimeEntity"/>
    <n v="1"/>
    <n v="129.848517434678"/>
    <n v="0"/>
    <n v="0.95"/>
    <n v="4E+20"/>
    <n v="129.848517434678"/>
    <n v="129.848517434678"/>
    <n v="72.561272521661493"/>
    <n v="315.28516497385499"/>
    <n v="148"/>
    <n v="2E+20"/>
    <n v="1"/>
    <n v="1"/>
  </r>
  <r>
    <x v="0"/>
    <s v="2025-04-25 09:36:35"/>
    <n v="1"/>
    <x v="0"/>
    <x v="5"/>
    <x v="0"/>
    <n v="0"/>
    <n v="2E+20"/>
    <n v="0"/>
    <n v="0"/>
    <n v="148"/>
    <s v="Unnamed ProjectEntity 1Wait TimeEntity"/>
    <n v="1"/>
    <n v="0"/>
    <n v="0"/>
    <n v="0.95"/>
    <n v="4E+20"/>
    <n v="0"/>
    <n v="0"/>
    <n v="0"/>
    <n v="0"/>
    <n v="148"/>
    <n v="2E+20"/>
    <n v="1"/>
    <n v="1"/>
  </r>
  <r>
    <x v="0"/>
    <s v="2025-04-25 09:36:35"/>
    <n v="1"/>
    <x v="1"/>
    <x v="6"/>
    <x v="1"/>
    <n v="5324.63644396575"/>
    <n v="2E+20"/>
    <n v="1025.3512571634601"/>
    <n v="9943.1635707870591"/>
    <n v="148"/>
    <s v="Unnamed ProjectTally 1IntervalUser Specified"/>
    <n v="1"/>
    <n v="5324.63644396575"/>
    <n v="0"/>
    <n v="0.95"/>
    <n v="4E+20"/>
    <n v="5324.63644396575"/>
    <n v="5324.63644396575"/>
    <n v="1025.3512571634601"/>
    <n v="9943.1635707870591"/>
    <n v="148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5-04-25 09:36:35"/>
    <n v="1"/>
    <x v="0"/>
    <x v="0"/>
    <x v="0"/>
    <n v="145"/>
    <n v="0"/>
    <s v="Unnamed ProjectEntity 1.NumberInNumber InEntity"/>
    <n v="1"/>
    <n v="145"/>
    <n v="0"/>
    <n v="0.95"/>
    <n v="4E+20"/>
    <n v="145"/>
    <n v="145"/>
  </r>
  <r>
    <x v="0"/>
    <s v="2025-04-25 09:36:35"/>
    <n v="1"/>
    <x v="1"/>
    <x v="1"/>
    <x v="0"/>
    <n v="148"/>
    <n v="0"/>
    <s v="Unnamed ProjectEntity 1.NumberOutNumber OutEntity"/>
    <n v="1"/>
    <n v="148"/>
    <n v="0"/>
    <n v="0.95"/>
    <n v="4E+20"/>
    <n v="148"/>
    <n v="148"/>
  </r>
  <r>
    <x v="0"/>
    <s v="2025-04-25 09:36:35"/>
    <n v="1"/>
    <x v="2"/>
    <x v="1"/>
    <x v="1"/>
    <n v="148"/>
    <n v="0"/>
    <s v="Unnamed ProjectSystem.NumberOutNumber OutSystem"/>
    <n v="1"/>
    <n v="148"/>
    <n v="0"/>
    <n v="0.95"/>
    <n v="4E+20"/>
    <n v="148"/>
    <n v="14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04-25 09:36:35"/>
    <n v="1"/>
    <x v="0"/>
    <x v="0"/>
    <x v="0"/>
    <n v="29"/>
    <s v="Unnamed ProjectReWorkNumberAvgCountUser Specified"/>
    <n v="1"/>
    <n v="29"/>
    <n v="0"/>
    <n v="0.95"/>
    <n v="4E+20"/>
    <n v="29"/>
    <n v="2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04-25 09:36:35"/>
    <n v="1"/>
    <x v="0"/>
    <x v="0"/>
    <x v="0"/>
    <n v="2.1180551656783799"/>
    <n v="2E+20"/>
    <n v="0"/>
    <n v="6"/>
    <n v="1"/>
    <n v="0"/>
    <s v="Unnamed ProjectEntity 1WIPEntity"/>
    <n v="1"/>
    <n v="2.1180551656783799"/>
    <n v="0"/>
    <n v="0.95"/>
    <n v="4E+20"/>
    <n v="2.1180551656783799"/>
    <n v="2.1180551656783799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2"/>
        <item m="1" x="35"/>
        <item m="1" x="7"/>
        <item m="1" x="86"/>
        <item m="1" x="69"/>
        <item m="1" x="40"/>
        <item m="1" x="95"/>
        <item m="1" x="28"/>
        <item m="1" x="32"/>
        <item x="0"/>
        <item m="1" x="64"/>
        <item m="1" x="76"/>
        <item m="1" x="81"/>
        <item m="1" x="6"/>
        <item m="1" x="34"/>
        <item m="1" x="24"/>
        <item m="1" x="98"/>
        <item m="1" x="93"/>
        <item m="1" x="22"/>
        <item m="1" x="16"/>
        <item m="1" x="87"/>
        <item m="1" x="8"/>
        <item m="1" x="41"/>
        <item m="1" x="27"/>
        <item m="1" x="51"/>
        <item m="1" x="78"/>
        <item m="1" x="43"/>
        <item m="1" x="13"/>
        <item m="1" x="37"/>
        <item m="1" x="65"/>
        <item m="1" x="55"/>
        <item m="1" x="14"/>
        <item m="1" x="72"/>
        <item m="1" x="5"/>
        <item m="1" x="92"/>
        <item m="1" x="60"/>
        <item m="1" x="80"/>
        <item m="1" x="36"/>
        <item m="1" x="94"/>
        <item m="1" x="63"/>
        <item m="1" x="18"/>
        <item m="1" x="54"/>
        <item m="1" x="68"/>
        <item m="1" x="79"/>
        <item m="1" x="85"/>
        <item m="1" x="4"/>
        <item m="1" x="17"/>
        <item m="1" x="26"/>
        <item m="1" x="19"/>
        <item m="1" x="3"/>
        <item m="1" x="77"/>
        <item m="1" x="89"/>
        <item m="1" x="30"/>
        <item m="1" x="59"/>
        <item m="1" x="21"/>
        <item m="1" x="38"/>
        <item m="1" x="25"/>
        <item m="1" x="46"/>
        <item m="1" x="33"/>
        <item m="1" x="52"/>
        <item m="1" x="39"/>
        <item m="1" x="61"/>
        <item m="1" x="47"/>
        <item m="1" x="66"/>
        <item m="1" x="53"/>
        <item m="1" x="74"/>
        <item m="1" x="67"/>
        <item m="1" x="82"/>
        <item m="1" x="90"/>
        <item m="1" x="70"/>
        <item m="1" x="50"/>
        <item m="1" x="31"/>
        <item m="1" x="44"/>
        <item m="1" x="15"/>
        <item m="1" x="20"/>
        <item m="1" x="29"/>
        <item m="1" x="56"/>
        <item m="1" x="91"/>
        <item m="1" x="84"/>
        <item m="1" x="71"/>
        <item m="1" x="45"/>
        <item m="1" x="57"/>
        <item m="1" x="49"/>
        <item m="1" x="73"/>
        <item m="1" x="58"/>
        <item m="1" x="42"/>
        <item m="1" x="48"/>
        <item m="1" x="11"/>
        <item x="1"/>
        <item m="1" x="62"/>
        <item m="1" x="75"/>
        <item m="1" x="83"/>
        <item m="1" x="88"/>
        <item m="1" x="97"/>
        <item m="1" x="9"/>
        <item m="1" x="23"/>
        <item m="1" x="96"/>
        <item m="1" x="10"/>
        <item m="1" x="2"/>
      </items>
    </pivotField>
    <pivotField axis="axisRow" compact="0" outline="0" showAll="0" defaultSubtotal="0">
      <items count="12">
        <item x="6"/>
        <item x="0"/>
        <item x="1"/>
        <item x="2"/>
        <item x="3"/>
        <item x="4"/>
        <item x="5"/>
        <item m="1" x="11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88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x="0"/>
        <item x="1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5"/>
        <item m="1" x="17"/>
        <item m="1" x="78"/>
        <item m="1" x="45"/>
        <item m="1" x="12"/>
        <item m="1" x="73"/>
        <item m="1" x="69"/>
        <item m="1" x="46"/>
        <item m="1" x="13"/>
        <item m="1" x="74"/>
        <item m="1" x="70"/>
        <item m="1" x="8"/>
        <item m="1" x="42"/>
        <item m="1" x="26"/>
        <item m="1" x="16"/>
        <item m="1" x="67"/>
        <item m="1" x="38"/>
        <item m="1" x="68"/>
        <item m="1" x="39"/>
        <item m="1" x="25"/>
        <item m="1" x="20"/>
        <item m="1" x="47"/>
        <item m="1" x="22"/>
        <item m="1" x="77"/>
        <item m="1" x="71"/>
        <item m="1" x="21"/>
        <item m="1" x="19"/>
        <item m="1" x="64"/>
        <item m="1" x="72"/>
        <item m="1" x="9"/>
        <item m="1" x="27"/>
        <item m="1" x="40"/>
        <item m="1" x="61"/>
        <item m="1" x="76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15"/>
      <x/>
      <x/>
    </i>
    <i r="1">
      <x v="1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">
        <item m="1" x="4"/>
        <item m="1" x="3"/>
        <item m="1" x="2"/>
        <item m="1" x="1"/>
        <item x="0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4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x="0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3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" tableType="queryTable" totalsRowShown="0">
  <autoFilter ref="A1:Y8" xr:uid="{C3D003CA-1AFF-426C-A03D-D3AF5760DF1A}"/>
  <sortState xmlns:xlrd2="http://schemas.microsoft.com/office/spreadsheetml/2017/richdata2" ref="A2:Y8">
    <sortCondition ref="D1:D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" tableType="queryTable" totalsRowShown="0">
  <autoFilter ref="A1:U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4" tableType="queryTable" totalsRowShown="0">
  <autoFilter ref="A1:P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6.58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1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12.4140625" bestFit="1" customWidth="1"/>
    <col min="5" max="5" width="29.83203125" bestFit="1" customWidth="1"/>
    <col min="6" max="6" width="20.4140625" bestFit="1" customWidth="1"/>
    <col min="7" max="7" width="10.66406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0.66406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0.66406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148</v>
      </c>
      <c r="O3" t="s">
        <v>66</v>
      </c>
      <c r="P3" t="s">
        <v>70</v>
      </c>
      <c r="Q3" t="s">
        <v>81</v>
      </c>
      <c r="R3" t="s">
        <v>72</v>
      </c>
      <c r="S3" s="5">
        <v>2.1180551656783799</v>
      </c>
      <c r="T3" s="5">
        <v>2E+20</v>
      </c>
      <c r="U3" s="5">
        <v>0</v>
      </c>
      <c r="V3" s="5">
        <v>2.1180551656783799</v>
      </c>
      <c r="W3" s="5">
        <v>2.1180551656783799</v>
      </c>
      <c r="X3" s="5">
        <v>0</v>
      </c>
      <c r="Y3" s="5">
        <v>6</v>
      </c>
      <c r="AA3" t="s">
        <v>66</v>
      </c>
      <c r="AB3" t="s">
        <v>82</v>
      </c>
      <c r="AC3" t="s">
        <v>83</v>
      </c>
      <c r="AD3" t="s">
        <v>80</v>
      </c>
      <c r="AE3" s="5">
        <v>29</v>
      </c>
      <c r="AF3" s="5">
        <v>4E+20</v>
      </c>
      <c r="AG3" s="5">
        <v>0</v>
      </c>
      <c r="AH3" s="5">
        <v>29</v>
      </c>
      <c r="AI3" s="5">
        <v>29</v>
      </c>
      <c r="AK3" t="s">
        <v>66</v>
      </c>
      <c r="AL3" t="s">
        <v>88</v>
      </c>
      <c r="AM3" t="s">
        <v>87</v>
      </c>
      <c r="AN3" t="s">
        <v>89</v>
      </c>
      <c r="AO3" s="5">
        <v>148</v>
      </c>
      <c r="AP3" s="5">
        <v>4E+20</v>
      </c>
      <c r="AQ3" s="5">
        <v>0</v>
      </c>
      <c r="AR3" s="5">
        <v>148</v>
      </c>
      <c r="AS3" s="5">
        <v>148</v>
      </c>
      <c r="AU3" t="s">
        <v>90</v>
      </c>
      <c r="AV3" t="s">
        <v>90</v>
      </c>
      <c r="AW3" t="s">
        <v>90</v>
      </c>
      <c r="AX3" t="s">
        <v>90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148</v>
      </c>
      <c r="AL4" t="s">
        <v>84</v>
      </c>
      <c r="AM4" t="s">
        <v>85</v>
      </c>
      <c r="AN4" t="s">
        <v>72</v>
      </c>
      <c r="AO4" s="5">
        <v>145</v>
      </c>
      <c r="AP4" s="5">
        <v>4E+20</v>
      </c>
      <c r="AQ4" s="5">
        <v>0</v>
      </c>
      <c r="AR4" s="5">
        <v>145</v>
      </c>
      <c r="AS4" s="5">
        <v>145</v>
      </c>
    </row>
    <row r="5" spans="1:52" x14ac:dyDescent="0.3">
      <c r="C5" t="s">
        <v>74</v>
      </c>
      <c r="D5" t="s">
        <v>72</v>
      </c>
      <c r="E5" s="5">
        <v>129.848517434678</v>
      </c>
      <c r="F5" s="5">
        <v>1</v>
      </c>
      <c r="G5" s="5">
        <v>2E+20</v>
      </c>
      <c r="H5" s="5">
        <v>0</v>
      </c>
      <c r="I5" s="5">
        <v>129.848517434678</v>
      </c>
      <c r="J5" s="5">
        <v>129.848517434678</v>
      </c>
      <c r="K5" s="5">
        <v>72.561272521661493</v>
      </c>
      <c r="L5" s="5">
        <v>315.28516497385499</v>
      </c>
      <c r="M5" s="5">
        <v>148</v>
      </c>
      <c r="AL5" t="s">
        <v>86</v>
      </c>
      <c r="AM5" t="s">
        <v>87</v>
      </c>
      <c r="AN5" t="s">
        <v>72</v>
      </c>
      <c r="AO5" s="5">
        <v>148</v>
      </c>
      <c r="AP5" s="5">
        <v>4E+20</v>
      </c>
      <c r="AQ5" s="5">
        <v>0</v>
      </c>
      <c r="AR5" s="5">
        <v>148</v>
      </c>
      <c r="AS5" s="5">
        <v>148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148</v>
      </c>
    </row>
    <row r="7" spans="1:52" x14ac:dyDescent="0.3">
      <c r="C7" t="s">
        <v>76</v>
      </c>
      <c r="D7" t="s">
        <v>72</v>
      </c>
      <c r="E7" s="5">
        <v>129.848517434678</v>
      </c>
      <c r="F7" s="5">
        <v>1</v>
      </c>
      <c r="G7" s="5">
        <v>2E+20</v>
      </c>
      <c r="H7" s="5">
        <v>0</v>
      </c>
      <c r="I7" s="5">
        <v>129.848517434678</v>
      </c>
      <c r="J7" s="5">
        <v>129.848517434678</v>
      </c>
      <c r="K7" s="5">
        <v>72.561272521661493</v>
      </c>
      <c r="L7" s="5">
        <v>315.28516497385499</v>
      </c>
      <c r="M7" s="5">
        <v>148</v>
      </c>
    </row>
    <row r="8" spans="1:52" x14ac:dyDescent="0.3">
      <c r="C8" t="s">
        <v>77</v>
      </c>
      <c r="D8" t="s">
        <v>72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148</v>
      </c>
    </row>
    <row r="9" spans="1:52" x14ac:dyDescent="0.3">
      <c r="B9" t="s">
        <v>78</v>
      </c>
      <c r="C9" t="s">
        <v>79</v>
      </c>
      <c r="D9" t="s">
        <v>80</v>
      </c>
      <c r="E9" s="5">
        <v>5324.63644396575</v>
      </c>
      <c r="F9" s="5">
        <v>1</v>
      </c>
      <c r="G9" s="5">
        <v>2E+20</v>
      </c>
      <c r="H9" s="5">
        <v>0</v>
      </c>
      <c r="I9" s="5">
        <v>5324.63644396575</v>
      </c>
      <c r="J9" s="5">
        <v>5324.63644396575</v>
      </c>
      <c r="K9" s="5">
        <v>1025.3512571634601</v>
      </c>
      <c r="L9" s="5">
        <v>9943.1635707870591</v>
      </c>
      <c r="M9" s="5">
        <v>148</v>
      </c>
    </row>
  </sheetData>
  <dataConsolidate/>
  <phoneticPr fontId="3" type="noConversion"/>
  <conditionalFormatting pivot="1" sqref="G3:G9">
    <cfRule type="expression" dxfId="31" priority="14">
      <formula>G3=200000000000000000000</formula>
    </cfRule>
  </conditionalFormatting>
  <conditionalFormatting pivot="1" sqref="T3">
    <cfRule type="expression" dxfId="30" priority="13">
      <formula>T3=200000000000000000000</formula>
    </cfRule>
  </conditionalFormatting>
  <conditionalFormatting pivot="1" sqref="T3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">
    <cfRule type="expression" dxfId="25" priority="8">
      <formula>T3=400000000000000000000</formula>
    </cfRule>
  </conditionalFormatting>
  <conditionalFormatting pivot="1" sqref="AP3:AP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1.83203125" bestFit="1" customWidth="1"/>
    <col min="6" max="6" width="12.4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38.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1.7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148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148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148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148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129.848517434678</v>
      </c>
      <c r="H4">
        <v>2E+20</v>
      </c>
      <c r="I4">
        <v>72.561272521661493</v>
      </c>
      <c r="J4">
        <v>315.28516497385499</v>
      </c>
      <c r="K4">
        <v>148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129.848517434678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129.848517434678</v>
      </c>
      <c r="S4" cm="1">
        <f t="array" ref="S4">MAX(IF((DiscreteStatsTable[GroupByKey]=DiscreteStatsTable[[#This Row],[GroupByKey]]),(DiscreteStatsTable[GroupByKey]=DiscreteStatsTable[[#This Row],[GroupByKey]])*DiscreteStatsTable[Average]))</f>
        <v>129.848517434678</v>
      </c>
      <c r="T4" cm="1">
        <f t="array" ref="T4">MIN(IF((DiscreteStatsTable[GroupByKey]=DiscreteStatsTable[[#This Row],[GroupByKey]]),(DiscreteStatsTable[GroupByKey]=DiscreteStatsTable[[#This Row],[GroupByKey]])*DiscreteStatsTable[Minimum]))</f>
        <v>72.561272521661493</v>
      </c>
      <c r="U4" cm="1">
        <f t="array" ref="U4">MAX(IF((DiscreteStatsTable[GroupByKey]=DiscreteStatsTable[[#This Row],[GroupByKey]]),(DiscreteStatsTable[GroupByKey]=DiscreteStatsTable[[#This Row],[GroupByKey]])*DiscreteStatsTable[Maximum]))</f>
        <v>315.28516497385499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148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148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148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129.848517434678</v>
      </c>
      <c r="H6">
        <v>2E+20</v>
      </c>
      <c r="I6">
        <v>72.561272521661493</v>
      </c>
      <c r="J6">
        <v>315.28516497385499</v>
      </c>
      <c r="K6">
        <v>148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129.848517434678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129.848517434678</v>
      </c>
      <c r="S6" cm="1">
        <f t="array" ref="S6">MAX(IF((DiscreteStatsTable[GroupByKey]=DiscreteStatsTable[[#This Row],[GroupByKey]]),(DiscreteStatsTable[GroupByKey]=DiscreteStatsTable[[#This Row],[GroupByKey]])*DiscreteStatsTable[Average]))</f>
        <v>129.848517434678</v>
      </c>
      <c r="T6" cm="1">
        <f t="array" ref="T6">MIN(IF((DiscreteStatsTable[GroupByKey]=DiscreteStatsTable[[#This Row],[GroupByKey]]),(DiscreteStatsTable[GroupByKey]=DiscreteStatsTable[[#This Row],[GroupByKey]])*DiscreteStatsTable[Minimum]))</f>
        <v>72.561272521661493</v>
      </c>
      <c r="U6" cm="1">
        <f t="array" ref="U6">MAX(IF((DiscreteStatsTable[GroupByKey]=DiscreteStatsTable[[#This Row],[GroupByKey]]),(DiscreteStatsTable[GroupByKey]=DiscreteStatsTable[[#This Row],[GroupByKey]])*DiscreteStatsTable[Maximum]))</f>
        <v>315.28516497385499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148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148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148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5324.63644396575</v>
      </c>
      <c r="H8">
        <v>2E+20</v>
      </c>
      <c r="I8">
        <v>1025.3512571634601</v>
      </c>
      <c r="J8">
        <v>9943.1635707870591</v>
      </c>
      <c r="K8">
        <v>148</v>
      </c>
      <c r="L8" t="str">
        <f>DiscreteStatsTable[[#This Row],[ProjectName]]&amp;DiscreteStatsTable[[#This Row],[Name]]&amp;DiscreteStatsTable[[#This Row],[Type]]&amp;DiscreteStatsTable[[#This Row],[Source]]</f>
        <v>Unnamed ProjectTally 1IntervalUser Specified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5324.63644396575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5324.63644396575</v>
      </c>
      <c r="S8" cm="1">
        <f t="array" ref="S8">MAX(IF((DiscreteStatsTable[GroupByKey]=DiscreteStatsTable[[#This Row],[GroupByKey]]),(DiscreteStatsTable[GroupByKey]=DiscreteStatsTable[[#This Row],[GroupByKey]])*DiscreteStatsTable[Average]))</f>
        <v>5324.63644396575</v>
      </c>
      <c r="T8" cm="1">
        <f t="array" ref="T8">MIN(IF((DiscreteStatsTable[GroupByKey]=DiscreteStatsTable[[#This Row],[GroupByKey]]),(DiscreteStatsTable[GroupByKey]=DiscreteStatsTable[[#This Row],[GroupByKey]])*DiscreteStatsTable[Minimum]))</f>
        <v>1025.3512571634601</v>
      </c>
      <c r="U8" cm="1">
        <f t="array" ref="U8">MAX(IF((DiscreteStatsTable[GroupByKey]=DiscreteStatsTable[[#This Row],[GroupByKey]]),(DiscreteStatsTable[GroupByKey]=DiscreteStatsTable[[#This Row],[GroupByKey]])*DiscreteStatsTable[Maximum]))</f>
        <v>9943.1635707870591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148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/>
    <row r="10" spans="1:25" x14ac:dyDescent="0.3"/>
    <row r="11" spans="1:25" x14ac:dyDescent="0.3"/>
    <row r="12" spans="1:25" x14ac:dyDescent="0.3"/>
    <row r="13" spans="1:25" x14ac:dyDescent="0.3"/>
    <row r="14" spans="1:25" x14ac:dyDescent="0.3"/>
    <row r="15" spans="1:25" x14ac:dyDescent="0.3"/>
    <row r="16" spans="1:25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8 Q2:Q8">
    <cfRule type="expression" dxfId="20" priority="23">
      <formula>H2=200000000000000000000</formula>
    </cfRule>
  </conditionalFormatting>
  <conditionalFormatting sqref="H2:H8">
    <cfRule type="expression" dxfId="19" priority="21">
      <formula>H2=300000000000000000000</formula>
    </cfRule>
  </conditionalFormatting>
  <conditionalFormatting sqref="L2:Y8">
    <cfRule type="expression" dxfId="18" priority="19">
      <formula>MOD(ROW(),2)=0</formula>
    </cfRule>
  </conditionalFormatting>
  <conditionalFormatting sqref="Y2:Y8">
    <cfRule type="expression" dxfId="17" priority="14">
      <formula>Y2=0</formula>
    </cfRule>
    <cfRule type="expression" dxfId="16" priority="16">
      <formula>Y2=1</formula>
    </cfRule>
  </conditionalFormatting>
  <conditionalFormatting sqref="Y3:Y8">
    <cfRule type="expression" dxfId="15" priority="15">
      <formula>Y3=1</formula>
    </cfRule>
  </conditionalFormatting>
  <conditionalFormatting sqref="W2:W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 W2:W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29.414062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1.7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2.1180551656783799</v>
      </c>
      <c r="H2">
        <v>2E+20</v>
      </c>
      <c r="I2">
        <v>0</v>
      </c>
      <c r="J2">
        <v>6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2.1180551656783799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2.1180551656783799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2.1180551656783799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/>
    <row r="4" spans="1:21" x14ac:dyDescent="0.3"/>
    <row r="5" spans="1:21" x14ac:dyDescent="0.3"/>
    <row r="6" spans="1:21" x14ac:dyDescent="0.3"/>
    <row r="7" spans="1:21" x14ac:dyDescent="0.3"/>
    <row r="8" spans="1:21" x14ac:dyDescent="0.3"/>
    <row r="9" spans="1:21" x14ac:dyDescent="0.3"/>
    <row r="10" spans="1:21" x14ac:dyDescent="0.3"/>
    <row r="11" spans="1:21" x14ac:dyDescent="0.3"/>
  </sheetData>
  <phoneticPr fontId="2" type="noConversion"/>
  <conditionalFormatting sqref="H2">
    <cfRule type="expression" dxfId="11" priority="9">
      <formula>H2=200000000000000000000</formula>
    </cfRule>
  </conditionalFormatting>
  <conditionalFormatting sqref="H2">
    <cfRule type="expression" dxfId="10" priority="7">
      <formula>H2=300000000000000000000</formula>
    </cfRule>
  </conditionalFormatting>
  <conditionalFormatting sqref="M2:U2">
    <cfRule type="expression" dxfId="9" priority="5">
      <formula>MOD(ROW(),2)=0</formula>
    </cfRule>
  </conditionalFormatting>
  <conditionalFormatting sqref="U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 U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7.414062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49.164062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69</v>
      </c>
      <c r="C2">
        <v>1</v>
      </c>
      <c r="D2" t="s">
        <v>82</v>
      </c>
      <c r="E2" t="s">
        <v>83</v>
      </c>
      <c r="F2" t="s">
        <v>80</v>
      </c>
      <c r="G2">
        <v>29</v>
      </c>
      <c r="H2" t="str">
        <f>CountersTable[[#This Row],[ProjectName]]&amp;CountersTable[[#This Row],[Name]]&amp;CountersTable[[#This Row],[Type]]&amp;CountersTable[[#This Row],[Source]]</f>
        <v>Unnamed ProjectReWorkNumberAvgCountUser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29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29</v>
      </c>
      <c r="O2" cm="1">
        <f t="array" ref="O2">MAX(IF((CountersTable[GroupByKey]=CountersTable[[#This Row],[GroupByKey]]),(CountersTable[GroupByKey]=CountersTable[[#This Row],[GroupByKey]])*CountersTable[RecordedValue]))</f>
        <v>29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7.4140625" bestFit="1" customWidth="1"/>
    <col min="5" max="5" width="11.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48.58203125" bestFit="1" customWidth="1"/>
    <col min="10" max="10" width="16.4140625" bestFit="1" customWidth="1"/>
    <col min="11" max="11" width="10.08203125" bestFit="1" customWidth="1"/>
    <col min="12" max="12" width="19.1640625" bestFit="1" customWidth="1"/>
    <col min="13" max="13" width="19.5" bestFit="1" customWidth="1"/>
    <col min="14" max="14" width="11.75" bestFit="1" customWidth="1"/>
    <col min="15" max="15" width="11.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84</v>
      </c>
      <c r="E2" t="s">
        <v>85</v>
      </c>
      <c r="F2" t="s">
        <v>72</v>
      </c>
      <c r="G2">
        <v>145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145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145</v>
      </c>
      <c r="P2" cm="1">
        <f t="array" ref="P2">MAX(IF((OutputTable[GroupByKey]=OutputTable[[#This Row],[GroupByKey]]),(OutputTable[GroupByKey]=OutputTable[[#This Row],[GroupByKey]])*OutputTable[RecordedValue]))</f>
        <v>145</v>
      </c>
    </row>
    <row r="3" spans="1:16" x14ac:dyDescent="0.3">
      <c r="A3" t="s">
        <v>66</v>
      </c>
      <c r="B3" t="s">
        <v>69</v>
      </c>
      <c r="C3">
        <v>1</v>
      </c>
      <c r="D3" t="s">
        <v>86</v>
      </c>
      <c r="E3" t="s">
        <v>87</v>
      </c>
      <c r="F3" t="s">
        <v>72</v>
      </c>
      <c r="G3">
        <v>148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148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148</v>
      </c>
      <c r="P3" cm="1">
        <f t="array" ref="P3">MAX(IF((OutputTable[GroupByKey]=OutputTable[[#This Row],[GroupByKey]]),(OutputTable[GroupByKey]=OutputTable[[#This Row],[GroupByKey]])*OutputTable[RecordedValue]))</f>
        <v>148</v>
      </c>
    </row>
    <row r="4" spans="1:16" x14ac:dyDescent="0.3">
      <c r="A4" t="s">
        <v>66</v>
      </c>
      <c r="B4" t="s">
        <v>69</v>
      </c>
      <c r="C4">
        <v>1</v>
      </c>
      <c r="D4" t="s">
        <v>88</v>
      </c>
      <c r="E4" t="s">
        <v>87</v>
      </c>
      <c r="F4" t="s">
        <v>89</v>
      </c>
      <c r="G4">
        <v>148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148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148</v>
      </c>
      <c r="P4" cm="1">
        <f t="array" ref="P4">MAX(IF((OutputTable[GroupByKey]=OutputTable[[#This Row],[GroupByKey]]),(OutputTable[GroupByKey]=OutputTable[[#This Row],[GroupByKey]])*OutputTable[RecordedValue]))</f>
        <v>148</v>
      </c>
    </row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4" spans="1:16" x14ac:dyDescent="0.3"/>
    <row r="15" spans="1:16" x14ac:dyDescent="0.3"/>
    <row r="16" spans="1: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</sheetData>
  <phoneticPr fontId="2" type="noConversion"/>
  <conditionalFormatting sqref="I2:P4">
    <cfRule type="expression" dxfId="3" priority="2">
      <formula>MOD(ROW(),2)=0</formula>
    </cfRule>
  </conditionalFormatting>
  <conditionalFormatting sqref="N2:N4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2025-04-25T01:36:45Z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